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OS Status" sheetId="2" state="visible" r:id="rId2"/>
    <sheet name="Gate Matrix" sheetId="3" state="visible" r:id="rId3"/>
    <sheet name="Roadmap" sheetId="4" state="visible" r:id="rId4"/>
    <sheet name="Microcenários" sheetId="5" state="visible" r:id="rId5"/>
    <sheet name="Dashboard" sheetId="6" state="visible" r:id="rId6"/>
    <sheet name="R18.43 medicao" sheetId="7" state="visible" r:id="rId7"/>
    <sheet name="R18.44 medicao" sheetId="8" state="visible" r:id="rId8"/>
    <sheet name="R18.46 faixas novas" sheetId="9" state="visible" r:id="rId9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sz val="11"/>
    </font>
    <font>
      <name val="Carlito"/>
      <b val="1"/>
      <color rgb="FFB84630"/>
      <sz val="11"/>
    </font>
  </fonts>
  <fills count="5">
    <fill>
      <patternFill/>
    </fill>
    <fill>
      <patternFill patternType="gray125"/>
    </fill>
    <fill>
      <patternFill patternType="solid">
        <fgColor rgb="FF283128"/>
      </patternFill>
    </fill>
    <fill>
      <patternFill patternType="solid">
        <fgColor rgb="FFE9EDE6"/>
      </patternFill>
    </fill>
    <fill>
      <patternFill patternType="solid">
        <fgColor rgb="FFF4E9E5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9" fontId="0" fillId="0" borderId="0" pivotButton="0" quotePrefix="0" xfId="0"/>
    <xf numFmtId="9" fontId="0" fillId="0" borderId="1" pivotButton="0" quotePrefix="0" xfId="0"/>
    <xf numFmtId="9" fontId="0" fillId="0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Status das ordens de serviço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Quantidade</v>
          </tx>
          <spPr>
            <a:ln>
              <a:prstDash val="solid"/>
            </a:ln>
          </spPr>
          <cat>
            <strRef>
              <f>'Dashboard'!$D$5:$D$10</f>
              <strCache>
                <ptCount val="0"/>
              </strCache>
            </strRef>
          </cat>
          <val>
            <numRef>
              <f>'Dashboard'!$E$5:$E$10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3</row>
      <rowOff>0</rowOff>
    </from>
    <to>
      <col>13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OSStatusTable" displayName="OSStatusTable" ref="A1:I11" headerRowCount="1">
  <tableColumns count="9">
    <tableColumn id="1" name="ID"/>
    <tableColumn id="2" name="Defeito"/>
    <tableColumn id="3" name="Status"/>
    <tableColumn id="4" name="Prioridade"/>
    <tableColumn id="5" name="Baseline"/>
    <tableColumn id="6" name="Resultado"/>
    <tableColumn id="7" name="Dependência"/>
    <tableColumn id="8" name="Próxima ação"/>
    <tableColumn id="9" name="Progresso"/>
  </tableColumns>
  <tableStyleInfo name="TableStyleMedium2" showRowStripes="1"/>
</table>
</file>

<file path=xl/tables/table2.xml><?xml version="1.0" encoding="utf-8"?>
<table xmlns="http://schemas.openxmlformats.org/spreadsheetml/2006/main" id="2" name="GateMatrixTable" displayName="GateMatrixTable" ref="A1:M27" headerRowCount="1">
  <tableColumns count="13">
    <tableColumn id="1" name="Gate ID"/>
    <tableColumn id="2" name="Família"/>
    <tableColumn id="3" name="Métrica / regra"/>
    <tableColumn id="4" name="Ambiente"/>
    <tableColumn id="5" name="Frequência"/>
    <tableColumn id="6" name="Baseline"/>
    <tableColumn id="7" name="Alvo"/>
    <tableColumn id="8" name="Banda de ruído"/>
    <tableColumn id="9" name="Protege"/>
    <tableColumn id="10" name="Release"/>
    <tableColumn id="11" name="Status"/>
    <tableColumn id="12" name="Evidência / comando"/>
    <tableColumn id="13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RoadmapTable" displayName="RoadmapTable" ref="A1:H8" headerRowCount="1">
  <tableColumns count="8">
    <tableColumn id="1" name="Release"/>
    <tableColumn id="2" name="Objetivo"/>
    <tableColumn id="3" name="Dependências"/>
    <tableColumn id="4" name="Entrada"/>
    <tableColumn id="5" name="Saída obrigatória"/>
    <tableColumn id="6" name="Risco principal"/>
    <tableColumn id="7" name="Status"/>
    <tableColumn id="8" name="% pronto"/>
  </tableColumns>
  <tableStyleInfo name="TableStyleMedium2" showRowStripes="1"/>
</table>
</file>

<file path=xl/tables/table4.xml><?xml version="1.0" encoding="utf-8"?>
<table xmlns="http://schemas.openxmlformats.org/spreadsheetml/2006/main" id="4" name="MicroScenariosTable" displayName="MicroScenariosTable" ref="A1:I16" headerRowCount="1">
  <tableColumns count="9">
    <tableColumn id="1" name="ID"/>
    <tableColumn id="2" name="Domínio"/>
    <tableColumn id="3" name="Estado inicial"/>
    <tableColumn id="4" name="Ação"/>
    <tableColumn id="5" name="Asserção"/>
    <tableColumn id="6" name="Ambiente"/>
    <tableColumn id="7" name="Release"/>
    <tableColumn id="8" name="Status"/>
    <tableColumn id="9" name="Evidência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6" customWidth="1" min="5" max="5"/>
    <col width="16" customWidth="1" min="7" max="7"/>
    <col width="16" customWidth="1" min="9" max="9"/>
  </cols>
  <sheetData>
    <row r="1">
      <c r="A1" s="5" t="inlineStr">
        <is>
          <t>Status</t>
        </is>
      </c>
      <c r="B1" s="5" t="inlineStr">
        <is>
          <t>Peso</t>
        </is>
      </c>
      <c r="C1" s="5" t="inlineStr">
        <is>
          <t>Descrição</t>
        </is>
      </c>
      <c r="E1" s="9" t="inlineStr">
        <is>
          <t>Prioridade</t>
        </is>
      </c>
      <c r="G1" s="9" t="inlineStr">
        <is>
          <t>Ambiente</t>
        </is>
      </c>
      <c r="I1" s="9" t="inlineStr">
        <is>
          <t>Família</t>
        </is>
      </c>
    </row>
    <row r="2">
      <c r="A2" s="2" t="inlineStr">
        <is>
          <t>RESOLVIDO</t>
        </is>
      </c>
      <c r="B2" s="2" t="n">
        <v>1</v>
      </c>
      <c r="C2" s="2" t="inlineStr">
        <is>
          <t>Alvo atingido e regressões protegidas</t>
        </is>
      </c>
      <c r="E2" t="inlineStr">
        <is>
          <t>P0</t>
        </is>
      </c>
      <c r="G2" t="inlineStr">
        <is>
          <t>Node</t>
        </is>
      </c>
      <c r="I2" t="inlineStr">
        <is>
          <t>Ecologia</t>
        </is>
      </c>
    </row>
    <row r="3">
      <c r="A3" s="2" t="inlineStr">
        <is>
          <t>PROMISSOR</t>
        </is>
      </c>
      <c r="B3" s="2" t="n">
        <v>0.7</v>
      </c>
      <c r="C3" s="2" t="inlineStr">
        <is>
          <t>Patch funciona localmente; falta promoção</t>
        </is>
      </c>
      <c r="E3" t="inlineStr">
        <is>
          <t>P1</t>
        </is>
      </c>
      <c r="G3" t="inlineStr">
        <is>
          <t>Navegador</t>
        </is>
      </c>
      <c r="I3" t="inlineStr">
        <is>
          <t>Causalidade</t>
        </is>
      </c>
    </row>
    <row r="4">
      <c r="A4" s="2" t="inlineStr">
        <is>
          <t>PARCIAL</t>
        </is>
      </c>
      <c r="B4" s="2" t="n">
        <v>0.5</v>
      </c>
      <c r="C4" s="2" t="inlineStr">
        <is>
          <t>Melhoria comprovada; alvo específico aberto</t>
        </is>
      </c>
      <c r="E4" t="inlineStr">
        <is>
          <t>P2</t>
        </is>
      </c>
      <c r="G4" t="inlineStr">
        <is>
          <t>Ambos</t>
        </is>
      </c>
      <c r="I4" t="inlineStr">
        <is>
          <t>Espaço</t>
        </is>
      </c>
    </row>
    <row r="5">
      <c r="A5" s="2" t="inlineStr">
        <is>
          <t>BLOQUEADO</t>
        </is>
      </c>
      <c r="B5" s="2" t="n">
        <v>0.3</v>
      </c>
      <c r="C5" s="2" t="inlineStr">
        <is>
          <t>Depende de recalibração ou outra arquitetura</t>
        </is>
      </c>
      <c r="E5" t="inlineStr">
        <is>
          <t>P3</t>
        </is>
      </c>
      <c r="G5" t="inlineStr">
        <is>
          <t>Microcenário</t>
        </is>
      </c>
      <c r="I5" t="inlineStr">
        <is>
          <t>Inteligência</t>
        </is>
      </c>
    </row>
    <row r="6">
      <c r="A6" s="2" t="inlineStr">
        <is>
          <t>REDIAGNOSTICADO</t>
        </is>
      </c>
      <c r="B6" s="2" t="n">
        <v>0.3</v>
      </c>
      <c r="C6" s="2" t="inlineStr">
        <is>
          <t>Direção original invalidada; novo mecanismo definido</t>
        </is>
      </c>
      <c r="E6" t="inlineStr">
        <is>
          <t>Observação</t>
        </is>
      </c>
      <c r="G6" t="inlineStr">
        <is>
          <t>Bateria</t>
        </is>
      </c>
      <c r="I6" t="inlineStr">
        <is>
          <t>Integridade</t>
        </is>
      </c>
    </row>
    <row r="7">
      <c r="A7" s="2" t="inlineStr">
        <is>
          <t>ABERTO</t>
        </is>
      </c>
      <c r="B7" s="2" t="n">
        <v>0</v>
      </c>
      <c r="C7" s="2" t="inlineStr">
        <is>
          <t>Ainda não implementado</t>
        </is>
      </c>
      <c r="E7" t="inlineStr">
        <is>
          <t>Cosmético</t>
        </is>
      </c>
      <c r="G7" t="inlineStr">
        <is>
          <t>Manual</t>
        </is>
      </c>
      <c r="I7" t="inlineStr">
        <is>
          <t>Dados</t>
        </is>
      </c>
    </row>
    <row r="8">
      <c r="A8" s="2" t="inlineStr">
        <is>
          <t>REJEITADO</t>
        </is>
      </c>
      <c r="B8" s="2" t="n">
        <v>0</v>
      </c>
      <c r="C8" s="2" t="inlineStr">
        <is>
          <t>Variante medida e descartada</t>
        </is>
      </c>
      <c r="G8" t="inlineStr">
        <is>
          <t>Copa</t>
        </is>
      </c>
      <c r="I8" t="inlineStr">
        <is>
          <t>UX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0" customWidth="1" min="4" max="4"/>
    <col width="28" customWidth="1" min="5" max="5"/>
    <col width="28" customWidth="1" min="6" max="6"/>
    <col width="25" customWidth="1" min="7" max="7"/>
    <col width="32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Defeito</t>
        </is>
      </c>
      <c r="C1" s="5" t="inlineStr">
        <is>
          <t>Status</t>
        </is>
      </c>
      <c r="D1" s="5" t="inlineStr">
        <is>
          <t>Prioridade</t>
        </is>
      </c>
      <c r="E1" s="5" t="inlineStr">
        <is>
          <t>Baseline</t>
        </is>
      </c>
      <c r="F1" s="5" t="inlineStr">
        <is>
          <t>Resultado</t>
        </is>
      </c>
      <c r="G1" s="5" t="inlineStr">
        <is>
          <t>Dependência</t>
        </is>
      </c>
      <c r="H1" s="5" t="inlineStr">
        <is>
          <t>Próxima ação</t>
        </is>
      </c>
      <c r="I1" s="5" t="inlineStr">
        <is>
          <t>Progresso</t>
        </is>
      </c>
    </row>
    <row r="2">
      <c r="A2" s="2" t="inlineStr">
        <is>
          <t>OS-01</t>
        </is>
      </c>
      <c r="B2" s="2" t="inlineStr">
        <is>
          <t>Plano e execução do goleiro divergem</t>
        </is>
      </c>
      <c r="C2" s="2" t="inlineStr">
        <is>
          <t>RESOLVIDO</t>
        </is>
      </c>
      <c r="D2" s="2" t="inlineStr">
        <is>
          <t>P0</t>
        </is>
      </c>
      <c r="E2" s="2" t="inlineStr">
        <is>
          <t>29,3% audit.; 21,9% re-medição</t>
        </is>
      </c>
      <c r="F2" s="2" t="inlineStr">
        <is>
          <t>CAU-03 19,33% -&gt; 1,667% (alvo &lt;8%), mediana 3 bases. O mecanismo era o RAIO (plano 3.0 vs checagem 1.95), nao a velocidade.</t>
        </is>
      </c>
      <c r="G2" s="2" t="inlineStr">
        <is>
          <t>Paridade com maxSpd</t>
        </is>
      </c>
      <c r="H2" s="2" t="inlineStr">
        <is>
          <t>Manter teste de regressao; microcenarios GK-01..03 seguem abertos</t>
        </is>
      </c>
      <c r="I2" s="33" t="n">
        <v>1</v>
      </c>
    </row>
    <row r="3">
      <c r="A3" s="2" t="inlineStr">
        <is>
          <t>OS-02</t>
        </is>
      </c>
      <c r="B3" s="2" t="inlineStr">
        <is>
          <t>Craques elegíveis ficam no banco</t>
        </is>
      </c>
      <c r="C3" s="2" t="inlineStr">
        <is>
          <t>BLOQUEADO</t>
        </is>
      </c>
      <c r="D3" s="2" t="inlineStr">
        <is>
          <t>P0</t>
        </is>
      </c>
      <c r="E3" s="2" t="inlineStr">
        <is>
          <t>2.397 vagas; gap 14,3</t>
        </is>
      </c>
      <c r="F3" s="2" t="inlineStr">
        <is>
          <t>397 vagas; gap 9,5; gols/xG fora</t>
        </is>
      </c>
      <c r="G3" s="2" t="inlineStr">
        <is>
          <t>Recalibração de finalização</t>
        </is>
      </c>
      <c r="H3" s="2" t="inlineStr">
        <is>
          <t>Folga de ECO-01 subiu de 0,08 para 0,66 na R18.44, mas ECO-02 segue o gargalo (folga 0,21 contra +0,92 de xG da escalacao). ATENCAO: futebol real tem xG total ~2,7, logo o teto de ECO-02 esta CERTO — um XI correto entregando 3,4 nao e gate mal calibrado, e o resto do motor sendo generoso. Atacar low_cross_shot primeiro (44% das finalizacoes, sem termo posicional).</t>
        </is>
      </c>
      <c r="I3" s="33">
        <f>IF(C3="RESOLVIDO",1,IF(C3="PROMISSOR",0.7,IF(C3="PARCIAL",0.5,IF(OR(C3="BLOQUEADO",C3="REDIAGNOSTICADO"),0.3,0))))</f>
        <v/>
      </c>
    </row>
    <row r="4">
      <c r="A4" s="2" t="inlineStr">
        <is>
          <t>OS-03</t>
        </is>
      </c>
      <c r="B4" s="2" t="inlineStr">
        <is>
          <t>Falta direta instantânea</t>
        </is>
      </c>
      <c r="C4" s="2" t="inlineStr">
        <is>
          <t>RESOLVIDO</t>
        </is>
      </c>
      <c r="D4" s="2" t="inlineStr">
        <is>
          <t>P1</t>
        </is>
      </c>
      <c r="E4" s="2" t="inlineStr">
        <is>
          <t>0,00 s na R18.25</t>
        </is>
      </c>
      <c r="F4" s="2" t="inlineStr">
        <is>
          <t>~1,7 s na R18.35</t>
        </is>
      </c>
      <c r="G4" s="2" t="inlineStr">
        <is>
          <t>Nenhuma</t>
        </is>
      </c>
      <c r="H4" s="2" t="inlineStr">
        <is>
          <t>Manter teste de regressão</t>
        </is>
      </c>
      <c r="I4" s="33">
        <f>IF(C4="RESOLVIDO",1,IF(C4="PROMISSOR",0.7,IF(C4="PARCIAL",0.5,IF(OR(C4="BLOQUEADO",C4="REDIAGNOSTICADO"),0.3,0))))</f>
        <v/>
      </c>
    </row>
    <row r="5">
      <c r="A5" s="2" t="inlineStr">
        <is>
          <t>OS-04</t>
        </is>
      </c>
      <c r="B5" s="2" t="inlineStr">
        <is>
          <t>Poucos corpos no escanteio</t>
        </is>
      </c>
      <c r="C5" s="2" t="inlineStr">
        <is>
          <t>ABERTO</t>
        </is>
      </c>
      <c r="D5" s="2" t="inlineStr">
        <is>
          <t>P1</t>
        </is>
      </c>
      <c r="E5" s="2" t="inlineStr">
        <is>
          <t>3 atacantes / ~4 defensores</t>
        </is>
      </c>
      <c r="F5" s="2" t="inlineStr">
        <is>
          <t>Não tratado</t>
        </is>
      </c>
      <c r="G5" s="2" t="inlineStr">
        <is>
          <t>OS-05 primeiro</t>
        </is>
      </c>
      <c r="H5" s="2" t="inlineStr">
        <is>
          <t>Aumentar ocupação sem cardume</t>
        </is>
      </c>
      <c r="I5" s="33">
        <f>IF(C5="RESOLVIDO",1,IF(C5="PROMISSOR",0.7,IF(C5="PARCIAL",0.5,IF(OR(C5="BLOQUEADO",C5="REDIAGNOSTICADO"),0.3,0))))</f>
        <v/>
      </c>
    </row>
    <row r="6">
      <c r="A6" s="2" t="inlineStr">
        <is>
          <t>OS-05</t>
        </is>
      </c>
      <c r="B6" s="2" t="inlineStr">
        <is>
          <t>Escanteio sem causalidade</t>
        </is>
      </c>
      <c r="C6" s="2" t="inlineStr">
        <is>
          <t>REDIAGNOSTICADO</t>
        </is>
      </c>
      <c r="D6" s="2" t="inlineStr">
        <is>
          <t>P0</t>
        </is>
      </c>
      <c r="E6" s="2" t="inlineStr">
        <is>
          <t>74,1% sem saída</t>
        </is>
      </c>
      <c r="F6" s="2" t="inlineStr">
        <is>
          <t>_clearBall 0 chamadas/12 jogos</t>
        </is>
      </c>
      <c r="G6" s="2" t="inlineStr">
        <is>
          <t>Redesenho do corte</t>
        </is>
      </c>
      <c r="H6" s="2" t="inlineStr">
        <is>
          <t>Derivar reinício em _ballOut</t>
        </is>
      </c>
      <c r="I6" s="33">
        <f>IF(C6="RESOLVIDO",1,IF(C6="PROMISSOR",0.7,IF(C6="PARCIAL",0.5,IF(OR(C6="BLOQUEADO",C6="REDIAGNOSTICADO"),0.3,0))))</f>
        <v/>
      </c>
    </row>
    <row r="7">
      <c r="A7" s="2" t="inlineStr">
        <is>
          <t>OS-06</t>
        </is>
      </c>
      <c r="B7" s="2" t="inlineStr">
        <is>
          <t>Poucos gols e muitos 0x0 na Copa</t>
        </is>
      </c>
      <c r="C7" s="2" t="inlineStr">
        <is>
          <t>ABERTO</t>
        </is>
      </c>
      <c r="D7" s="2" t="inlineStr">
        <is>
          <t>P1</t>
        </is>
      </c>
      <c r="E7" s="2" t="inlineStr">
        <is>
          <t>1,69–1,98 gols; 19,8% 0x0</t>
        </is>
      </c>
      <c r="F7" s="2" t="inlineStr">
        <is>
          <t>Não tratado</t>
        </is>
      </c>
      <c r="G7" s="2" t="inlineStr">
        <is>
          <t>OS-01/02/04/05</t>
        </is>
      </c>
      <c r="H7" s="2" t="inlineStr">
        <is>
          <t>Medir Copa após reparos causais</t>
        </is>
      </c>
      <c r="I7" s="33">
        <f>IF(C7="RESOLVIDO",1,IF(C7="PROMISSOR",0.7,IF(C7="PARCIAL",0.5,IF(OR(C7="BLOQUEADO",C7="REDIAGNOSTICADO"),0.3,0))))</f>
        <v/>
      </c>
    </row>
    <row r="8">
      <c r="A8" s="2" t="inlineStr">
        <is>
          <t>OS-07</t>
        </is>
      </c>
      <c r="B8" s="2" t="inlineStr">
        <is>
          <t>Cardume e campo vazio</t>
        </is>
      </c>
      <c r="C8" s="2" t="inlineStr">
        <is>
          <t>PARCIAL</t>
        </is>
      </c>
      <c r="D8" s="2" t="inlineStr">
        <is>
          <t>P0</t>
        </is>
      </c>
      <c r="E8" s="2" t="inlineStr">
        <is>
          <t>67,5% vazio; bloco 31,3 m</t>
        </is>
      </c>
      <c r="F8" s="2" t="inlineStr">
        <is>
          <t>bloco 32,8-&gt;37,1 m (alvo &gt;35, CUMPRE); zaga-&gt;ataque 25,7-&gt;31,1 m (alvo &gt;30, CUMPRE); campo vazio 68,7-&gt;68,1% (alvo &lt;50 INATINGIVEL)</t>
        </is>
      </c>
      <c r="G8" s="2" t="inlineStr">
        <is>
          <t>Etapa isolada</t>
        </is>
      </c>
      <c r="H8" s="2" t="inlineStr">
        <is>
          <t>Reespecificar ESP-01 (alvo inatingivel, gate_esp01.md). ATENCAO: OS-07 NAO abriu folga para OS-02 — xG/chute caiu so 0,7% na mediana e o volume subiu 21%, entao o xG total subiu 17% e a folga ate o teto de ECO-02 caiu de 0,63/0,82/0,60 para 0,28/0,32/0,14. A rota OS-07-&gt;OS-02 do handoff R18.40B precisa ser reaberta.</t>
        </is>
      </c>
      <c r="I8" s="33" t="n">
        <v>0.7</v>
      </c>
    </row>
    <row r="9">
      <c r="A9" s="2" t="inlineStr">
        <is>
          <t>OS-08</t>
        </is>
      </c>
      <c r="B9" s="2" t="inlineStr">
        <is>
          <t>Condução quase inexistente</t>
        </is>
      </c>
      <c r="C9" s="2" t="inlineStr">
        <is>
          <t>ABERTO</t>
        </is>
      </c>
      <c r="D9" s="2" t="inlineStr">
        <is>
          <t>P1</t>
        </is>
      </c>
      <c r="E9" s="2" t="inlineStr">
        <is>
          <t>1,18%; 0,66 m</t>
        </is>
      </c>
      <c r="F9" s="2" t="inlineStr">
        <is>
          <t>Não tratado</t>
        </is>
      </c>
      <c r="G9" s="2" t="inlineStr">
        <is>
          <t>Janela de compromisso</t>
        </is>
      </c>
      <c r="H9" s="2" t="inlineStr">
        <is>
          <t>R18.44</t>
        </is>
      </c>
      <c r="I9" s="33">
        <f>IF(C9="RESOLVIDO",1,IF(C9="PROMISSOR",0.7,IF(C9="PARCIAL",0.5,IF(OR(C9="BLOQUEADO",C9="REDIAGNOSTICADO"),0.3,0))))</f>
        <v/>
      </c>
    </row>
    <row r="10">
      <c r="A10" s="2" t="inlineStr">
        <is>
          <t>OS-09</t>
        </is>
      </c>
      <c r="B10" s="2" t="inlineStr">
        <is>
          <t>save_energy morto</t>
        </is>
      </c>
      <c r="C10" s="2" t="inlineStr">
        <is>
          <t>PROMISSOR</t>
        </is>
      </c>
      <c r="D10" s="2" t="inlineStr">
        <is>
          <t>P2</t>
        </is>
      </c>
      <c r="E10" s="2" t="inlineStr">
        <is>
          <t>0,03%</t>
        </is>
      </c>
      <c r="F10" s="2" t="inlineStr">
        <is>
          <t>73=3,56%; 74=5,73%</t>
        </is>
      </c>
      <c r="G10" s="2" t="inlineStr">
        <is>
          <t>Bateria ecológica</t>
        </is>
      </c>
      <c r="H10" s="2" t="inlineStr">
        <is>
          <t>Promover configuração aprovada</t>
        </is>
      </c>
      <c r="I10" s="33">
        <f>IF(C10="RESOLVIDO",1,IF(C10="PROMISSOR",0.7,IF(C10="PARCIAL",0.5,IF(OR(C10="BLOQUEADO",C10="REDIAGNOSTICADO"),0.3,0))))</f>
        <v/>
      </c>
    </row>
    <row r="11">
      <c r="A11" s="2" t="inlineStr">
        <is>
          <t>OS-10</t>
        </is>
      </c>
      <c r="B11" s="2" t="inlineStr">
        <is>
          <t>Velocidade artefato</t>
        </is>
      </c>
      <c r="C11" s="2" t="inlineStr">
        <is>
          <t>PROMISSOR</t>
        </is>
      </c>
      <c r="D11" s="2" t="inlineStr">
        <is>
          <t>P2</t>
        </is>
      </c>
      <c r="E11" s="2" t="inlineStr">
        <is>
          <t>18,28 m/s</t>
        </is>
      </c>
      <c r="F11" s="2" t="inlineStr">
        <is>
          <t>8,98 m/s</t>
        </is>
      </c>
      <c r="G11" s="2" t="inlineStr">
        <is>
          <t>Movimento realimentado</t>
        </is>
      </c>
      <c r="H11" s="2" t="inlineStr">
        <is>
          <t>Proteger linhas/impedimentos</t>
        </is>
      </c>
      <c r="I11" s="33">
        <f>IF(C11="RESOLVIDO",1,IF(C11="PROMISSOR",0.7,IF(C11="PARCIAL",0.5,IF(OR(C11="BLOQUEADO",C11="REDIAGNOSTICADO"),0.3,0))))</f>
        <v/>
      </c>
    </row>
  </sheetData>
  <conditionalFormatting sqref="I2:I11">
    <cfRule type="dataBar" priority="1">
      <dataBar>
        <cfvo type="min"/>
        <cfvo type="max"/>
        <color rgb="FFA02B93"/>
      </dataBar>
    </cfRule>
  </conditionalFormatting>
  <dataValidations count="2">
    <dataValidation sqref="C2:C11" showDropDown="0" showInputMessage="0" showErrorMessage="0" allowBlank="0" type="list">
      <formula1>"RESOLVIDO,PROMISSOR,PARCIAL,BLOQUEADO,REDIAGNOSTICADO,ABERTO,REJEITADO"</formula1>
    </dataValidation>
    <dataValidation sqref="D2:D11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5" customWidth="1" min="3" max="3"/>
    <col width="15" customWidth="1" min="4" max="4"/>
    <col width="15" customWidth="1" min="5" max="5"/>
    <col width="26" customWidth="1" min="6" max="6"/>
    <col width="24" customWidth="1" min="7" max="7"/>
    <col width="18" customWidth="1" min="8" max="8"/>
    <col width="20" customWidth="1" min="9" max="9"/>
    <col width="14" customWidth="1" min="10" max="10"/>
    <col width="15" customWidth="1" min="11" max="11"/>
    <col width="28" customWidth="1" min="12" max="12"/>
    <col width="28" customWidth="1" min="13" max="13"/>
  </cols>
  <sheetData>
    <row r="1">
      <c r="A1" s="5" t="inlineStr">
        <is>
          <t>Gate ID</t>
        </is>
      </c>
      <c r="B1" s="5" t="inlineStr">
        <is>
          <t>Família</t>
        </is>
      </c>
      <c r="C1" s="5" t="inlineStr">
        <is>
          <t>Métrica / regra</t>
        </is>
      </c>
      <c r="D1" s="5" t="inlineStr">
        <is>
          <t>Ambiente</t>
        </is>
      </c>
      <c r="E1" s="5" t="inlineStr">
        <is>
          <t>Frequência</t>
        </is>
      </c>
      <c r="F1" s="5" t="inlineStr">
        <is>
          <t>Baseline</t>
        </is>
      </c>
      <c r="G1" s="5" t="inlineStr">
        <is>
          <t>Alvo</t>
        </is>
      </c>
      <c r="H1" s="5" t="inlineStr">
        <is>
          <t>Banda de ruído</t>
        </is>
      </c>
      <c r="I1" s="5" t="inlineStr">
        <is>
          <t>Protege</t>
        </is>
      </c>
      <c r="J1" s="5" t="inlineStr">
        <is>
          <t>Release</t>
        </is>
      </c>
      <c r="K1" s="5" t="inlineStr">
        <is>
          <t>Status</t>
        </is>
      </c>
      <c r="L1" s="5" t="inlineStr">
        <is>
          <t>Evidência / comando</t>
        </is>
      </c>
      <c r="M1" s="5" t="inlineStr">
        <is>
          <t>Observação</t>
        </is>
      </c>
    </row>
    <row r="2">
      <c r="A2" s="2" t="inlineStr">
        <is>
          <t>ECO-01</t>
        </is>
      </c>
      <c r="B2" s="2" t="inlineStr">
        <is>
          <t>Ecologia</t>
        </is>
      </c>
      <c r="C2" s="2" t="inlineStr">
        <is>
          <t>Gols por partida</t>
        </is>
      </c>
      <c r="D2" s="2" t="inlineStr">
        <is>
          <t>Bateria</t>
        </is>
      </c>
      <c r="E2" s="2" t="inlineStr">
        <is>
          <t>n=48</t>
        </is>
      </c>
      <c r="F2" s="2" t="inlineStr">
        <is>
          <t>2,542 R18.44 (mediana 3 bases)</t>
        </is>
      </c>
      <c r="G2" s="2" t="inlineStr">
        <is>
          <t>2,4–3,2</t>
        </is>
      </c>
      <c r="H2" s="2" t="inlineStr">
        <is>
          <t>~30%</t>
        </is>
      </c>
      <c r="I2" s="2" t="inlineStr">
        <is>
          <t>Finalização</t>
        </is>
      </c>
      <c r="J2" s="2" t="inlineStr">
        <is>
          <t>R18.44</t>
        </is>
      </c>
      <c r="K2" s="2" t="inlineStr">
        <is>
          <t>RESOLVIDO</t>
        </is>
      </c>
      <c r="L2" s="2" t="inlineStr">
        <is>
          <t>tools/r1840/bateria.js + tools/r1844/multibase44.js</t>
        </is>
      </c>
      <c r="M2" s="2" t="inlineStr">
        <is>
          <t>R18.44 raio do goleiro 1,95 (plano = checagem). mediana 3 bases 2,542 (R18.43 3,125); bases: 2,500 / 2,542 / 2,875. Era FRAGIL na R18.43 (2/3 bases: 3,063 / 3,125 / 3,521) e agora cumpre em 3/3.</t>
        </is>
      </c>
    </row>
    <row r="3">
      <c r="A3" s="2" t="inlineStr">
        <is>
          <t>ECO-02</t>
        </is>
      </c>
      <c r="B3" s="2" t="inlineStr">
        <is>
          <t>Ecologia</t>
        </is>
      </c>
      <c r="C3" s="2" t="inlineStr">
        <is>
          <t>xG por partida</t>
        </is>
      </c>
      <c r="D3" s="2" t="inlineStr">
        <is>
          <t>Bateria</t>
        </is>
      </c>
      <c r="E3" s="2" t="inlineStr">
        <is>
          <t>n=48</t>
        </is>
      </c>
      <c r="F3" s="2" t="inlineStr">
        <is>
          <t>2,495 R18.44 (mediana 3 bases)</t>
        </is>
      </c>
      <c r="G3" s="2" t="inlineStr">
        <is>
          <t>1,8–2,7</t>
        </is>
      </c>
      <c r="H3" s="2" t="inlineStr">
        <is>
          <t>medir</t>
        </is>
      </c>
      <c r="I3" s="2" t="inlineStr">
        <is>
          <t>Qualidade das chances</t>
        </is>
      </c>
      <c r="J3" s="2" t="inlineStr">
        <is>
          <t>R18.44</t>
        </is>
      </c>
      <c r="K3" s="2" t="inlineStr">
        <is>
          <t>RESOLVIDO</t>
        </is>
      </c>
      <c r="L3" s="2" t="inlineStr">
        <is>
          <t>tools/r1840/bateria.js + tools/r1844/multibase44.js</t>
        </is>
      </c>
      <c r="M3" s="2" t="inlineStr">
        <is>
          <t>R18.44 raio do goleiro 1,95 (plano = checagem). mediana 3 bases 2,495 (R18.43 2,421); bases: 2,475 / 2,495 / 2,562.</t>
        </is>
      </c>
    </row>
    <row r="4">
      <c r="A4" s="2" t="inlineStr">
        <is>
          <t>ECO-03</t>
        </is>
      </c>
      <c r="B4" s="2" t="inlineStr">
        <is>
          <t>Ecologia</t>
        </is>
      </c>
      <c r="C4" s="2" t="inlineStr">
        <is>
          <t>Chutes por partida</t>
        </is>
      </c>
      <c r="D4" s="2" t="inlineStr">
        <is>
          <t>Bateria</t>
        </is>
      </c>
      <c r="E4" s="2" t="inlineStr">
        <is>
          <t>n=48</t>
        </is>
      </c>
      <c r="F4" s="2" t="inlineStr">
        <is>
          <t>15,250 R18.44 (mediana 3 bases)</t>
        </is>
      </c>
      <c r="G4" s="2" t="inlineStr">
        <is>
          <t>17-27</t>
        </is>
      </c>
      <c r="H4" s="2" t="inlineStr">
        <is>
          <t>~7%</t>
        </is>
      </c>
      <c r="I4" s="2" t="inlineStr">
        <is>
          <t>Cadência ofensiva</t>
        </is>
      </c>
      <c r="J4" s="2" t="inlineStr">
        <is>
          <t>R18.46</t>
        </is>
      </c>
      <c r="K4" s="2" t="inlineStr">
        <is>
          <t>ABERTO</t>
        </is>
      </c>
      <c r="L4" s="2" t="inlineStr">
        <is>
          <t>tools/r1840/bateria.js + tools/r1844/multibase44.js</t>
        </is>
      </c>
      <c r="M4" s="2" t="inlineStr">
        <is>
          <t>FAIXA RE-DERIVADA E APROVADA pelo dono da matriz (era 12-20). Derivada de futebol real ~25 (dois times) na faixa 0,7-1,0x da Ordem de Servico para camadas de 'Momento'. Motivo: a faixa antiga EXCLUIA o futebol real (teto de 20 chutes contra ~25 reais) e por isso escondia que o motor chuta a ~58% do volume real. Sob a faixa nova a build promovida R18.44 entrega 15,250 e REPROVA em 0/3 bases (14,604 / 15,313 / 15,250) — pela regra da R18.40, gate que a baseline reprova nao bloqueia promocao e vira DEFEITO RASTREADO com alvo claro. Prova de insatisfazibilidade do conjunto antigo em tools/r1845/gate_eco_consistencia.md.</t>
        </is>
      </c>
    </row>
    <row r="5">
      <c r="A5" s="2" t="inlineStr">
        <is>
          <t>ECO-04</t>
        </is>
      </c>
      <c r="B5" s="2" t="inlineStr">
        <is>
          <t>Ecologia</t>
        </is>
      </c>
      <c r="C5" s="2" t="inlineStr">
        <is>
          <t>Chutes no alvo</t>
        </is>
      </c>
      <c r="D5" s="2" t="inlineStr">
        <is>
          <t>Bateria</t>
        </is>
      </c>
      <c r="E5" s="2" t="inlineStr">
        <is>
          <t>n=48</t>
        </is>
      </c>
      <c r="F5" s="2" t="inlineStr">
        <is>
          <t>5,167 R18.44 (mediana 3 bases)</t>
        </is>
      </c>
      <c r="G5" s="2" t="inlineStr">
        <is>
          <t>6-10</t>
        </is>
      </c>
      <c r="H5" s="2" t="inlineStr">
        <is>
          <t>medir</t>
        </is>
      </c>
      <c r="I5" s="2" t="inlineStr">
        <is>
          <t>Defesas e gols</t>
        </is>
      </c>
      <c r="J5" s="2" t="inlineStr">
        <is>
          <t>R18.46</t>
        </is>
      </c>
      <c r="K5" s="2" t="inlineStr">
        <is>
          <t>ABERTO</t>
        </is>
      </c>
      <c r="L5" s="2" t="inlineStr">
        <is>
          <t>tools/r1840/bateria.js + tools/r1844/multibase44.js</t>
        </is>
      </c>
      <c r="M5" s="2" t="inlineStr">
        <is>
          <t>FAIXA RE-DERIVADA E APROVADA pelo dono da matriz (era 4-7). Derivada de futebol real ~8,5 (dois times) na faixa 0,7-1,0x da Ordem de Servico para camadas de 'Momento'. Motivo: a faixa antiga EXCLUIA o futebol real (teto de 20 chutes contra ~25 reais) e por isso escondia que o motor chuta a ~58% do volume real. Sob a faixa nova a build promovida R18.44 entrega 5,167 e REPROVA em 0/3 bases (4,667 / 5,167 / 5,208) — pela regra da R18.40, gate que a baseline reprova nao bloqueia promocao e vira DEFEITO RASTREADO com alvo claro. Prova de insatisfazibilidade do conjunto antigo em tools/r1845/gate_eco_consistencia.md.</t>
        </is>
      </c>
    </row>
    <row r="6">
      <c r="A6" s="2" t="inlineStr">
        <is>
          <t>ECO-05</t>
        </is>
      </c>
      <c r="B6" s="2" t="inlineStr">
        <is>
          <t>Ecologia</t>
        </is>
      </c>
      <c r="C6" s="2" t="inlineStr">
        <is>
          <t>Escanteios por partida</t>
        </is>
      </c>
      <c r="D6" s="2" t="inlineStr">
        <is>
          <t>Bateria</t>
        </is>
      </c>
      <c r="E6" s="2" t="inlineStr">
        <is>
          <t>n=48</t>
        </is>
      </c>
      <c r="F6" s="2" t="inlineStr">
        <is>
          <t>1,333 R18.35</t>
        </is>
      </c>
      <c r="G6" s="2" t="inlineStr">
        <is>
          <t>4–10</t>
        </is>
      </c>
      <c r="H6" s="2" t="inlineStr">
        <is>
          <t>31%</t>
        </is>
      </c>
      <c r="I6" s="2" t="inlineStr">
        <is>
          <t>Bola parada</t>
        </is>
      </c>
      <c r="J6" s="2" t="inlineStr">
        <is>
          <t>R18.41</t>
        </is>
      </c>
      <c r="K6" s="2" t="inlineStr">
        <is>
          <t>ABERTO</t>
        </is>
      </c>
      <c r="L6" s="2" t="inlineStr">
        <is>
          <t>diag_saida + bateria</t>
        </is>
      </c>
      <c r="M6" s="2" t="inlineStr">
        <is>
          <t>Não subir por dado</t>
        </is>
      </c>
    </row>
    <row r="7">
      <c r="A7" s="2" t="inlineStr">
        <is>
          <t>ECO-06</t>
        </is>
      </c>
      <c r="B7" s="2" t="inlineStr">
        <is>
          <t>Ecologia</t>
        </is>
      </c>
      <c r="C7" s="2" t="inlineStr">
        <is>
          <t>0x0 na Copa</t>
        </is>
      </c>
      <c r="D7" s="2" t="inlineStr">
        <is>
          <t>Copa</t>
        </is>
      </c>
      <c r="E7" s="2" t="inlineStr">
        <is>
          <t>4 Copas</t>
        </is>
      </c>
      <c r="F7" s="2" t="inlineStr">
        <is>
          <t>19,8%</t>
        </is>
      </c>
      <c r="G7" s="2" t="inlineStr">
        <is>
          <t>&lt;13%</t>
        </is>
      </c>
      <c r="H7" s="2" t="inlineStr">
        <is>
          <t>medir</t>
        </is>
      </c>
      <c r="I7" s="2" t="inlineStr">
        <is>
          <t>Modo principal</t>
        </is>
      </c>
      <c r="J7" s="2" t="inlineStr">
        <is>
          <t>R18.40B/R18.41</t>
        </is>
      </c>
      <c r="K7" s="2" t="inlineStr">
        <is>
          <t>ABERTO</t>
        </is>
      </c>
      <c r="L7" s="2" t="inlineStr">
        <is>
          <t>window.CUP</t>
        </is>
      </c>
      <c r="M7" s="2" t="inlineStr">
        <is>
          <t>Medir após reparos</t>
        </is>
      </c>
    </row>
    <row r="8">
      <c r="A8" s="2" t="inlineStr">
        <is>
          <t>CAU-01</t>
        </is>
      </c>
      <c r="B8" s="2" t="inlineStr">
        <is>
          <t>Causalidade</t>
        </is>
      </c>
      <c r="C8" s="2" t="inlineStr">
        <is>
          <t>Escanteio exige saída + último toque defensor</t>
        </is>
      </c>
      <c r="D8" s="2" t="inlineStr">
        <is>
          <t>Microcenário</t>
        </is>
      </c>
      <c r="E8" s="2" t="inlineStr">
        <is>
          <t>sempre</t>
        </is>
      </c>
      <c r="F8" s="2" t="inlineStr">
        <is>
          <t>74,1% sem saída</t>
        </is>
      </c>
      <c r="G8" s="2" t="inlineStr">
        <is>
          <t>≥85% legítimos</t>
        </is>
      </c>
      <c r="H8" s="2" t="inlineStr">
        <is>
          <t>determinístico</t>
        </is>
      </c>
      <c r="I8" s="2" t="inlineStr">
        <is>
          <t>Reinícios</t>
        </is>
      </c>
      <c r="J8" s="2" t="inlineStr">
        <is>
          <t>R18.41</t>
        </is>
      </c>
      <c r="K8" s="2" t="inlineStr">
        <is>
          <t>ABERTO</t>
        </is>
      </c>
      <c r="L8" s="2" t="inlineStr">
        <is>
          <t>CO-01/CO-02</t>
        </is>
      </c>
      <c r="M8" s="2" t="str"/>
    </row>
    <row r="9">
      <c r="A9" s="2" t="inlineStr">
        <is>
          <t>CAU-02</t>
        </is>
      </c>
      <c r="B9" s="2" t="inlineStr">
        <is>
          <t>Causalidade</t>
        </is>
      </c>
      <c r="C9" s="2" t="inlineStr">
        <is>
          <t>Todo corner concedido é cobrado</t>
        </is>
      </c>
      <c r="D9" s="2" t="inlineStr">
        <is>
          <t>Microcenário</t>
        </is>
      </c>
      <c r="E9" s="2" t="inlineStr">
        <is>
          <t>sempre</t>
        </is>
      </c>
      <c r="F9" s="2" t="inlineStr">
        <is>
          <t>diferença corner/delivery</t>
        </is>
      </c>
      <c r="G9" s="2" t="inlineStr">
        <is>
          <t>≥95%</t>
        </is>
      </c>
      <c r="H9" s="2" t="inlineStr">
        <is>
          <t>determinístico</t>
        </is>
      </c>
      <c r="I9" s="2" t="inlineStr">
        <is>
          <t>Bola parada</t>
        </is>
      </c>
      <c r="J9" s="2" t="inlineStr">
        <is>
          <t>R18.41</t>
        </is>
      </c>
      <c r="K9" s="2" t="inlineStr">
        <is>
          <t>ABERTO</t>
        </is>
      </c>
      <c r="L9" s="2" t="inlineStr">
        <is>
          <t>CO-03</t>
        </is>
      </c>
      <c r="M9" s="2" t="inlineStr">
        <is>
          <t>Interrupções precisam de motivo</t>
        </is>
      </c>
    </row>
    <row r="10">
      <c r="A10" s="2" t="inlineStr">
        <is>
          <t>CAU-03</t>
        </is>
      </c>
      <c r="B10" s="2" t="inlineStr">
        <is>
          <t>Causalidade</t>
        </is>
      </c>
      <c r="C10" s="2" t="inlineStr">
        <is>
          <t>Defesa alcançável usa contato válido</t>
        </is>
      </c>
      <c r="D10" s="2" t="inlineStr">
        <is>
          <t>Microcenário</t>
        </is>
      </c>
      <c r="E10" s="2" t="inlineStr">
        <is>
          <t>sempre</t>
        </is>
      </c>
      <c r="F10" s="2" t="inlineStr">
        <is>
          <t>19,33% R18.43 (mediana 3 bases)</t>
        </is>
      </c>
      <c r="G10" s="2" t="inlineStr">
        <is>
          <t>&lt;8%</t>
        </is>
      </c>
      <c r="H10" s="2" t="inlineStr">
        <is>
          <t>baixo</t>
        </is>
      </c>
      <c r="I10" s="2" t="inlineStr">
        <is>
          <t>Goleiro</t>
        </is>
      </c>
      <c r="J10" s="2" t="inlineStr">
        <is>
          <t>R18.44</t>
        </is>
      </c>
      <c r="K10" s="2" t="inlineStr">
        <is>
          <t>RESOLVIDO</t>
        </is>
      </c>
      <c r="L10" s="2" t="inlineStr">
        <is>
          <t>tools/r1843/diag_xg.js (evento visual_contact_failed kind=save)</t>
        </is>
      </c>
      <c r="M10" s="2" t="inlineStr">
        <is>
          <t>% dos gols por falha de contato do goleiro: 19,33% -&gt; 1,667% (mediana 3 bases; bases 1,667 / 2,459 / 1,449). Mecanismo: os tres sitios de chute planejavam com radius=3.0 e _gkResolveSave validava com _physicalContactValid(gk,1.95,z); como required=max(0,dist-radius), o plano declarava o goleiro no lugar e o corpo nunca recebia ordem de andar. Introduzido por tools/r1821/build_rc1.js ~linha 128.</t>
        </is>
      </c>
    </row>
    <row r="11">
      <c r="A11" s="2" t="inlineStr">
        <is>
          <t>CAU-04</t>
        </is>
      </c>
      <c r="B11" s="2" t="inlineStr">
        <is>
          <t>Causalidade</t>
        </is>
      </c>
      <c r="C11" s="2" t="inlineStr">
        <is>
          <t>Planejador GK não promete &gt; maxSpd</t>
        </is>
      </c>
      <c r="D11" s="2" t="inlineStr">
        <is>
          <t>Microcenário</t>
        </is>
      </c>
      <c r="E11" s="2" t="inlineStr">
        <is>
          <t>sempre</t>
        </is>
      </c>
      <c r="F11" s="2" t="inlineStr">
        <is>
          <t>8,53 vs 6,05</t>
        </is>
      </c>
      <c r="G11" s="2" t="inlineStr">
        <is>
          <t>100% paridade</t>
        </is>
      </c>
      <c r="H11" s="2" t="inlineStr">
        <is>
          <t>determinístico</t>
        </is>
      </c>
      <c r="I11" s="2" t="inlineStr">
        <is>
          <t>Goleiro</t>
        </is>
      </c>
      <c r="J11" s="2" t="inlineStr">
        <is>
          <t>R18.44</t>
        </is>
      </c>
      <c r="K11" s="2" t="inlineStr">
        <is>
          <t>ABERTO</t>
        </is>
      </c>
      <c r="L11" s="2" t="inlineStr">
        <is>
          <t>GK-03</t>
        </is>
      </c>
      <c r="M11" s="2" t="inlineStr">
        <is>
          <t>O que mordia era o RAIO, nao a velocidade — baixar a promessa do planejador saiu inerte no ponto escolhido. Raio corrigido na R18.44.</t>
        </is>
      </c>
    </row>
    <row r="12">
      <c r="A12" s="2" t="inlineStr">
        <is>
          <t>ESP-01</t>
        </is>
      </c>
      <c r="B12" s="2" t="inlineStr">
        <is>
          <t>Espaço</t>
        </is>
      </c>
      <c r="C12" s="2" t="inlineStr">
        <is>
          <t>Campo vazio</t>
        </is>
      </c>
      <c r="D12" s="2" t="inlineStr">
        <is>
          <t>Bateria</t>
        </is>
      </c>
      <c r="E12" s="2" t="inlineStr">
        <is>
          <t>10+ jogos</t>
        </is>
      </c>
      <c r="F12" s="2" t="inlineStr">
        <is>
          <t>68,696 R18.40A (mediana 3 bases)</t>
        </is>
      </c>
      <c r="G12" s="2" t="inlineStr">
        <is>
          <t>&lt;50%</t>
        </is>
      </c>
      <c r="H12" s="2" t="inlineStr">
        <is>
          <t>medir</t>
        </is>
      </c>
      <c r="I12" s="2" t="inlineStr">
        <is>
          <t>Cardume</t>
        </is>
      </c>
      <c r="J12" s="2" t="inlineStr">
        <is>
          <t>R18.43</t>
        </is>
      </c>
      <c r="K12" s="2" t="inlineStr">
        <is>
          <t>REJEITADO</t>
        </is>
      </c>
      <c r="L12" s="2" t="inlineStr">
        <is>
          <t>tools/r1843/diag_espaco.js + tools/r1843/multibase43.js</t>
        </is>
      </c>
      <c r="M12" s="2" t="inlineStr">
        <is>
          <t>ALVO INATINGIVEL. Serie vazio_r8 (reconstruida; auditoria_blob nao existe no repo). Piso geometrico 43,7%: 20 jogadores x disco r=8 m = 4021 m2 de 7140 m2. &lt;50% exigiria 88% da cobertura maxima teorica em todo quadro. baseline 68,696% -&gt; candidata 68,061%. Ver tools/r1843/gate_esp01.md.</t>
        </is>
      </c>
    </row>
    <row r="13">
      <c r="A13" s="2" t="inlineStr">
        <is>
          <t>ESP-02</t>
        </is>
      </c>
      <c r="B13" s="2" t="inlineStr">
        <is>
          <t>Espaço</t>
        </is>
      </c>
      <c r="C13" s="2" t="inlineStr">
        <is>
          <t>Comprimento do bloco</t>
        </is>
      </c>
      <c r="D13" s="2" t="inlineStr">
        <is>
          <t>Bateria</t>
        </is>
      </c>
      <c r="E13" s="2" t="inlineStr">
        <is>
          <t>10+ jogos</t>
        </is>
      </c>
      <c r="F13" s="2" t="inlineStr">
        <is>
          <t>32,843 R18.40A (mediana 3 bases)</t>
        </is>
      </c>
      <c r="G13" s="2" t="inlineStr">
        <is>
          <t>&gt;35 m</t>
        </is>
      </c>
      <c r="H13" s="2" t="inlineStr">
        <is>
          <t>medir</t>
        </is>
      </c>
      <c r="I13" s="2" t="inlineStr">
        <is>
          <t>Estrutura</t>
        </is>
      </c>
      <c r="J13" s="2" t="inlineStr">
        <is>
          <t>R18.43</t>
        </is>
      </c>
      <c r="K13" s="2" t="inlineStr">
        <is>
          <t>RESOLVIDO</t>
        </is>
      </c>
      <c r="L13" s="2" t="inlineStr">
        <is>
          <t>tools/r1843/diag_espaco.js + tools/r1843/multibase43.js</t>
        </is>
      </c>
      <c r="M13" s="2" t="inlineStr">
        <is>
          <t>R18.43 piso de profundidade do bloco. mediana 3 bases 37,068 (baseline 32,843); bases: 37,068 / 36,395 / 37,098. Gate era FRAGIL na baseline (0/3 bases: 32,843 / 32,246 / 32,856).</t>
        </is>
      </c>
    </row>
    <row r="14">
      <c r="A14" s="2" t="inlineStr">
        <is>
          <t>ESP-03</t>
        </is>
      </c>
      <c r="B14" s="2" t="inlineStr">
        <is>
          <t>Espaço</t>
        </is>
      </c>
      <c r="C14" s="2" t="inlineStr">
        <is>
          <t>Zaga→ataque</t>
        </is>
      </c>
      <c r="D14" s="2" t="inlineStr">
        <is>
          <t>Bateria</t>
        </is>
      </c>
      <c r="E14" s="2" t="inlineStr">
        <is>
          <t>10+ jogos</t>
        </is>
      </c>
      <c r="F14" s="2" t="inlineStr">
        <is>
          <t>25,670 R18.40A (mediana 3 bases)</t>
        </is>
      </c>
      <c r="G14" s="2" t="inlineStr">
        <is>
          <t>&gt;30 m</t>
        </is>
      </c>
      <c r="H14" s="2" t="inlineStr">
        <is>
          <t>medir</t>
        </is>
      </c>
      <c r="I14" s="2" t="inlineStr">
        <is>
          <t>Profundidade</t>
        </is>
      </c>
      <c r="J14" s="2" t="inlineStr">
        <is>
          <t>R18.43</t>
        </is>
      </c>
      <c r="K14" s="2" t="inlineStr">
        <is>
          <t>RESOLVIDO</t>
        </is>
      </c>
      <c r="L14" s="2" t="inlineStr">
        <is>
          <t>tools/r1843/diag_espaco.js + tools/r1843/multibase43.js</t>
        </is>
      </c>
      <c r="M14" s="2" t="inlineStr">
        <is>
          <t>R18.43 piso de profundidade do bloco. mediana 3 bases 31,053 (baseline 25,670); bases: 31,175 / 30,545 / 31,053. Gate era FRAGIL na baseline (0/3 bases: 25,670 / 25,194 / 25,727).</t>
        </is>
      </c>
    </row>
    <row r="15">
      <c r="A15" s="2" t="inlineStr">
        <is>
          <t>ESP-04</t>
        </is>
      </c>
      <c r="B15" s="2" t="inlineStr">
        <is>
          <t>Espaço</t>
        </is>
      </c>
      <c r="C15" s="2" t="inlineStr">
        <is>
          <t>Jogadores a &lt;20 m da bola</t>
        </is>
      </c>
      <c r="D15" s="2" t="inlineStr">
        <is>
          <t>Bateria</t>
        </is>
      </c>
      <c r="E15" s="2" t="inlineStr">
        <is>
          <t>10+ jogos</t>
        </is>
      </c>
      <c r="F15" s="2" t="inlineStr">
        <is>
          <t>41,638 R18.40A (mediana 3 bases)</t>
        </is>
      </c>
      <c r="G15" s="2" t="inlineStr">
        <is>
          <t>35–45%</t>
        </is>
      </c>
      <c r="H15" s="2" t="inlineStr">
        <is>
          <t>medir</t>
        </is>
      </c>
      <c r="I15" s="2" t="inlineStr">
        <is>
          <t>Evita perseguição</t>
        </is>
      </c>
      <c r="J15" s="2" t="inlineStr">
        <is>
          <t>R18.43</t>
        </is>
      </c>
      <c r="K15" s="2" t="inlineStr">
        <is>
          <t>RESOLVIDO</t>
        </is>
      </c>
      <c r="L15" s="2" t="inlineStr">
        <is>
          <t>tools/r1843/diag_espaco.js + tools/r1843/multibase43.js</t>
        </is>
      </c>
      <c r="M15" s="2" t="inlineStr">
        <is>
          <t>R18.43 piso de profundidade do bloco. mediana 3 bases 41,280 (baseline 41,638); bases: 40,813 / 42,104 / 41,280.</t>
        </is>
      </c>
    </row>
    <row r="16">
      <c r="A16" s="2" t="inlineStr">
        <is>
          <t>INT-01</t>
        </is>
      </c>
      <c r="B16" s="2" t="inlineStr">
        <is>
          <t>Inteligência</t>
        </is>
      </c>
      <c r="C16" s="2" t="inlineStr">
        <is>
          <t>Ações de condução</t>
        </is>
      </c>
      <c r="D16" s="2" t="inlineStr">
        <is>
          <t>Bateria</t>
        </is>
      </c>
      <c r="E16" s="2" t="inlineStr">
        <is>
          <t>5+ seeds</t>
        </is>
      </c>
      <c r="F16" s="2" t="inlineStr">
        <is>
          <t>1,18%</t>
        </is>
      </c>
      <c r="G16" s="2" t="inlineStr">
        <is>
          <t>faixa a calibrar</t>
        </is>
      </c>
      <c r="H16" s="2" t="inlineStr">
        <is>
          <t>24%</t>
        </is>
      </c>
      <c r="I16" s="2" t="inlineStr">
        <is>
          <t>Condução</t>
        </is>
      </c>
      <c r="J16" s="2" t="inlineStr">
        <is>
          <t>R18.44</t>
        </is>
      </c>
      <c r="K16" s="2" t="inlineStr">
        <is>
          <t>ABERTO</t>
        </is>
      </c>
      <c r="L16" s="2" t="inlineStr">
        <is>
          <t>diag_carry</t>
        </is>
      </c>
      <c r="M16" s="2" t="str"/>
    </row>
    <row r="17">
      <c r="A17" s="2" t="inlineStr">
        <is>
          <t>INT-02</t>
        </is>
      </c>
      <c r="B17" s="2" t="inlineStr">
        <is>
          <t>Inteligência</t>
        </is>
      </c>
      <c r="C17" s="2" t="inlineStr">
        <is>
          <t>Metros conduzidos por posse</t>
        </is>
      </c>
      <c r="D17" s="2" t="inlineStr">
        <is>
          <t>Bateria</t>
        </is>
      </c>
      <c r="E17" s="2" t="inlineStr">
        <is>
          <t>5+ seeds</t>
        </is>
      </c>
      <c r="F17" s="2" t="inlineStr">
        <is>
          <t>0,66 m</t>
        </is>
      </c>
      <c r="G17" s="2" t="inlineStr">
        <is>
          <t>faixa a calibrar</t>
        </is>
      </c>
      <c r="H17" s="2" t="inlineStr">
        <is>
          <t>54%</t>
        </is>
      </c>
      <c r="I17" s="2" t="inlineStr">
        <is>
          <t>Progressão</t>
        </is>
      </c>
      <c r="J17" s="2" t="inlineStr">
        <is>
          <t>R18.44</t>
        </is>
      </c>
      <c r="K17" s="2" t="inlineStr">
        <is>
          <t>ABERTO</t>
        </is>
      </c>
      <c r="L17" s="2" t="inlineStr">
        <is>
          <t>diag_carry</t>
        </is>
      </c>
      <c r="M17" s="2" t="str"/>
    </row>
    <row r="18">
      <c r="A18" s="2" t="inlineStr">
        <is>
          <t>INT-03</t>
        </is>
      </c>
      <c r="B18" s="2" t="inlineStr">
        <is>
          <t>Inteligência</t>
        </is>
      </c>
      <c r="C18" s="2" t="inlineStr">
        <is>
          <t>Chute irracional do meio-campo</t>
        </is>
      </c>
      <c r="D18" s="2" t="inlineStr">
        <is>
          <t>Microcenário</t>
        </is>
      </c>
      <c r="E18" s="2" t="inlineStr">
        <is>
          <t>sempre</t>
        </is>
      </c>
      <c r="F18" s="2" t="inlineStr">
        <is>
          <t>observado pelo usuário</t>
        </is>
      </c>
      <c r="G18" s="2" t="inlineStr">
        <is>
          <t>quase zero com opções melhores</t>
        </is>
      </c>
      <c r="H18" s="2" t="inlineStr">
        <is>
          <t>determinístico</t>
        </is>
      </c>
      <c r="I18" s="2" t="inlineStr">
        <is>
          <t>Decisão</t>
        </is>
      </c>
      <c r="J18" s="2" t="inlineStr">
        <is>
          <t>R18.44</t>
        </is>
      </c>
      <c r="K18" s="2" t="inlineStr">
        <is>
          <t>ABERTO</t>
        </is>
      </c>
      <c r="L18" s="2" t="inlineStr">
        <is>
          <t>SH-01</t>
        </is>
      </c>
      <c r="M18" s="2" t="str"/>
    </row>
    <row r="19">
      <c r="A19" s="2" t="inlineStr">
        <is>
          <t>INT-04</t>
        </is>
      </c>
      <c r="B19" s="2" t="inlineStr">
        <is>
          <t>Inteligência</t>
        </is>
      </c>
      <c r="C19" s="2" t="inlineStr">
        <is>
          <t>Diferenciação dos estilos</t>
        </is>
      </c>
      <c r="D19" s="2" t="inlineStr">
        <is>
          <t>Ambos</t>
        </is>
      </c>
      <c r="E19" s="2" t="inlineStr">
        <is>
          <t>mesma seed</t>
        </is>
      </c>
      <c r="F19" s="2" t="inlineStr">
        <is>
          <t>3,2 pp posse</t>
        </is>
      </c>
      <c r="G19" s="2" t="inlineStr">
        <is>
          <t>assinaturas separáveis</t>
        </is>
      </c>
      <c r="H19" s="2" t="inlineStr">
        <is>
          <t>medir</t>
        </is>
      </c>
      <c r="I19" s="2" t="inlineStr">
        <is>
          <t>Tática</t>
        </is>
      </c>
      <c r="J19" s="2" t="inlineStr">
        <is>
          <t>R18.45</t>
        </is>
      </c>
      <c r="K19" s="2" t="inlineStr">
        <is>
          <t>ABERTO</t>
        </is>
      </c>
      <c r="L19" s="2" t="inlineStr">
        <is>
          <t>TA-01</t>
        </is>
      </c>
      <c r="M19" s="2" t="str"/>
    </row>
    <row r="20">
      <c r="A20" s="2" t="inlineStr">
        <is>
          <t>INT-05</t>
        </is>
      </c>
      <c r="B20" s="2" t="inlineStr">
        <is>
          <t>Inteligência</t>
        </is>
      </c>
      <c r="C20" s="2" t="inlineStr">
        <is>
          <t>save_energy</t>
        </is>
      </c>
      <c r="D20" s="2" t="inlineStr">
        <is>
          <t>Bateria</t>
        </is>
      </c>
      <c r="E20" s="2" t="inlineStr">
        <is>
          <t>n=30/48</t>
        </is>
      </c>
      <c r="F20" s="2" t="inlineStr">
        <is>
          <t>0,03%</t>
        </is>
      </c>
      <c r="G20" s="2" t="inlineStr">
        <is>
          <t>3–12%</t>
        </is>
      </c>
      <c r="H20" s="2" t="inlineStr">
        <is>
          <t>medir</t>
        </is>
      </c>
      <c r="I20" s="2" t="inlineStr">
        <is>
          <t>Treinador</t>
        </is>
      </c>
      <c r="J20" s="2" t="inlineStr">
        <is>
          <t>R18.40A</t>
        </is>
      </c>
      <c r="K20" s="2" t="inlineStr">
        <is>
          <t>PROMISSOR</t>
        </is>
      </c>
      <c r="L20" s="2" t="inlineStr">
        <is>
          <t>diag_treinador</t>
        </is>
      </c>
      <c r="M20" s="2" t="inlineStr">
        <is>
          <t>Balance &gt;40%</t>
        </is>
      </c>
    </row>
    <row r="21">
      <c r="A21" s="2" t="inlineStr">
        <is>
          <t>TEC-01</t>
        </is>
      </c>
      <c r="B21" s="2" t="inlineStr">
        <is>
          <t>Integridade</t>
        </is>
      </c>
      <c r="C21" s="2" t="inlineStr">
        <is>
          <t>Velocidade compatível com maxSpd</t>
        </is>
      </c>
      <c r="D21" s="2" t="inlineStr">
        <is>
          <t>Ambos</t>
        </is>
      </c>
      <c r="E21" s="2" t="inlineStr">
        <is>
          <t>sempre</t>
        </is>
      </c>
      <c r="F21" s="2" t="inlineStr">
        <is>
          <t>18,28 m/s</t>
        </is>
      </c>
      <c r="G21" s="2" t="inlineStr">
        <is>
          <t>sem artefato; ~8–9 m/s</t>
        </is>
      </c>
      <c r="H21" s="2" t="inlineStr">
        <is>
          <t>baixo</t>
        </is>
      </c>
      <c r="I21" s="2" t="inlineStr">
        <is>
          <t>Física</t>
        </is>
      </c>
      <c r="J21" s="2" t="inlineStr">
        <is>
          <t>R18.40A</t>
        </is>
      </c>
      <c r="K21" s="2" t="inlineStr">
        <is>
          <t>PROMISSOR</t>
        </is>
      </c>
      <c r="L21" s="2" t="inlineStr">
        <is>
          <t>diag_treinador/browser</t>
        </is>
      </c>
      <c r="M21" s="2" t="str"/>
    </row>
    <row r="22">
      <c r="A22" s="2" t="inlineStr">
        <is>
          <t>TEC-02</t>
        </is>
      </c>
      <c r="B22" s="2" t="inlineStr">
        <is>
          <t>Integridade</t>
        </is>
      </c>
      <c r="C22" s="2" t="inlineStr">
        <is>
          <t>NaN/infinito</t>
        </is>
      </c>
      <c r="D22" s="2" t="inlineStr">
        <is>
          <t>Ambos</t>
        </is>
      </c>
      <c r="E22" s="2" t="inlineStr">
        <is>
          <t>toda bateria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zero</t>
        </is>
      </c>
      <c r="I22" s="2" t="inlineStr">
        <is>
          <t>Estabilidade</t>
        </is>
      </c>
      <c r="J22" s="2" t="inlineStr">
        <is>
          <t>todas</t>
        </is>
      </c>
      <c r="K22" s="2" t="inlineStr">
        <is>
          <t>RESOLVIDO</t>
        </is>
      </c>
      <c r="L22" s="2" t="inlineStr">
        <is>
          <t>sanity scan</t>
        </is>
      </c>
      <c r="M22" s="2" t="str"/>
    </row>
    <row r="23">
      <c r="A23" s="2" t="inlineStr">
        <is>
          <t>TEC-03</t>
        </is>
      </c>
      <c r="B23" s="2" t="inlineStr">
        <is>
          <t>Integridade</t>
        </is>
      </c>
      <c r="C23" s="2" t="inlineStr">
        <is>
          <t>Erros de console</t>
        </is>
      </c>
      <c r="D23" s="2" t="inlineStr">
        <is>
          <t>Navegador</t>
        </is>
      </c>
      <c r="E23" s="2" t="inlineStr">
        <is>
          <t>boot+partida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zero</t>
        </is>
      </c>
      <c r="I23" s="2" t="inlineStr">
        <is>
          <t>UI</t>
        </is>
      </c>
      <c r="J23" s="2" t="inlineStr">
        <is>
          <t>todas</t>
        </is>
      </c>
      <c r="K23" s="2" t="inlineStr">
        <is>
          <t>RESOLVIDO</t>
        </is>
      </c>
      <c r="L23" s="2" t="inlineStr">
        <is>
          <t>console</t>
        </is>
      </c>
      <c r="M23" s="2" t="str"/>
    </row>
    <row r="24">
      <c r="A24" s="2" t="inlineStr">
        <is>
          <t>TEC-04</t>
        </is>
      </c>
      <c r="B24" s="2" t="inlineStr">
        <is>
          <t>Integridade</t>
        </is>
      </c>
      <c r="C24" s="2" t="inlineStr">
        <is>
          <t>Determinismo</t>
        </is>
      </c>
      <c r="D24" s="2" t="inlineStr">
        <is>
          <t>Node</t>
        </is>
      </c>
      <c r="E24" s="2" t="inlineStr">
        <is>
          <t>8/8</t>
        </is>
      </c>
      <c r="F24" s="2" t="inlineStr">
        <is>
          <t>8/8</t>
        </is>
      </c>
      <c r="G24" s="2" t="inlineStr">
        <is>
          <t>100%</t>
        </is>
      </c>
      <c r="H24" s="2" t="inlineStr">
        <is>
          <t>zero</t>
        </is>
      </c>
      <c r="I24" s="2" t="inlineStr">
        <is>
          <t>Reprodutibilidade</t>
        </is>
      </c>
      <c r="J24" s="2" t="inlineStr">
        <is>
          <t>todas</t>
        </is>
      </c>
      <c r="K24" s="2" t="inlineStr">
        <is>
          <t>RESOLVIDO</t>
        </is>
      </c>
      <c r="L24" s="2" t="inlineStr">
        <is>
          <t>seed replay</t>
        </is>
      </c>
      <c r="M24" s="2" t="str"/>
    </row>
    <row r="25">
      <c r="A25" s="2" t="inlineStr">
        <is>
          <t>TEC-05</t>
        </is>
      </c>
      <c r="B25" s="2" t="inlineStr">
        <is>
          <t>Integridade</t>
        </is>
      </c>
      <c r="C25" s="2" t="inlineStr">
        <is>
          <t>Completude do bundle</t>
        </is>
      </c>
      <c r="D25" s="2" t="inlineStr">
        <is>
          <t>Ambos</t>
        </is>
      </c>
      <c r="E25" s="2" t="inlineStr">
        <is>
          <t>todo boot</t>
        </is>
      </c>
      <c r="F25" s="2" t="inlineStr">
        <is>
          <t>document is not defined silenciado</t>
        </is>
      </c>
      <c r="G25" s="2" t="inlineStr">
        <is>
          <t>zero erro + símbolos presentes</t>
        </is>
      </c>
      <c r="H25" s="2" t="inlineStr">
        <is>
          <t>zero</t>
        </is>
      </c>
      <c r="I25" s="2" t="inlineStr">
        <is>
          <t>Laboratório</t>
        </is>
      </c>
      <c r="J25" s="2" t="inlineStr">
        <is>
          <t>R18.40A</t>
        </is>
      </c>
      <c r="K25" s="2" t="inlineStr">
        <is>
          <t>ABERTO</t>
        </is>
      </c>
      <c r="L25" s="2" t="inlineStr">
        <is>
          <t>novo gate</t>
        </is>
      </c>
      <c r="M25" s="2" t="inlineStr">
        <is>
          <t>Crítico</t>
        </is>
      </c>
    </row>
    <row r="26">
      <c r="A26" s="2" t="inlineStr">
        <is>
          <t>DAT-01</t>
        </is>
      </c>
      <c r="B26" s="2" t="inlineStr">
        <is>
          <t>Dados</t>
        </is>
      </c>
      <c r="C26" s="2" t="inlineStr">
        <is>
          <t>Jogadores sem vetor</t>
        </is>
      </c>
      <c r="D26" s="2" t="inlineStr">
        <is>
          <t>Node</t>
        </is>
      </c>
      <c r="E26" s="2" t="inlineStr">
        <is>
          <t>dataset</t>
        </is>
      </c>
      <c r="F26" s="2" t="inlineStr">
        <is>
          <t>91</t>
        </is>
      </c>
      <c r="G26" s="2" t="inlineStr">
        <is>
          <t>0 ou explicitamente tratados</t>
        </is>
      </c>
      <c r="H26" s="2" t="inlineStr">
        <is>
          <t>zero</t>
        </is>
      </c>
      <c r="I26" s="2" t="inlineStr">
        <is>
          <t>Atributos</t>
        </is>
      </c>
      <c r="J26" s="2" t="inlineStr">
        <is>
          <t>futuro</t>
        </is>
      </c>
      <c r="K26" s="2" t="inlineStr">
        <is>
          <t>ABERTO</t>
        </is>
      </c>
      <c r="L26" s="2" t="inlineStr">
        <is>
          <t>auditoria dados</t>
        </is>
      </c>
      <c r="M26" s="2" t="str"/>
    </row>
    <row r="27">
      <c r="A27" s="2" t="inlineStr">
        <is>
          <t>UX-01</t>
        </is>
      </c>
      <c r="B27" s="2" t="inlineStr">
        <is>
          <t>UX</t>
        </is>
      </c>
      <c r="C27" s="2" t="inlineStr">
        <is>
          <t>Boot mobile</t>
        </is>
      </c>
      <c r="D27" s="2" t="inlineStr">
        <is>
          <t>Navegador</t>
        </is>
      </c>
      <c r="E27" s="2" t="inlineStr">
        <is>
          <t>iOS/Android</t>
        </is>
      </c>
      <c r="F27" s="2" t="inlineStr">
        <is>
          <t>doctype/charset corrigidos</t>
        </is>
      </c>
      <c r="G27" s="2" t="inlineStr">
        <is>
          <t>boot completo</t>
        </is>
      </c>
      <c r="H27" s="2" t="inlineStr">
        <is>
          <t>zero</t>
        </is>
      </c>
      <c r="I27" s="2" t="inlineStr">
        <is>
          <t>Acesso</t>
        </is>
      </c>
      <c r="J27" s="2" t="inlineStr">
        <is>
          <t>todas</t>
        </is>
      </c>
      <c r="K27" s="2" t="inlineStr">
        <is>
          <t>RESOLVIDO</t>
        </is>
      </c>
      <c r="L27" s="2" t="inlineStr">
        <is>
          <t>teste móvel</t>
        </is>
      </c>
      <c r="M27" s="2" t="str"/>
    </row>
    <row r="28">
      <c r="A28" t="inlineStr">
        <is>
          <t>COE-01</t>
        </is>
      </c>
      <c r="B28" t="inlineStr">
        <is>
          <t>Integridade</t>
        </is>
      </c>
      <c r="C28" t="inlineStr">
        <is>
          <t>gols por partida / xG por partida</t>
        </is>
      </c>
      <c r="D28" t="inlineStr">
        <is>
          <t>Bateria</t>
        </is>
      </c>
      <c r="E28" t="inlineStr">
        <is>
          <t>n=48 x 3 bases</t>
        </is>
      </c>
      <c r="F28" t="inlineStr">
        <is>
          <t>1,313 R18.43</t>
        </is>
      </c>
      <c r="G28" t="inlineStr">
        <is>
          <t>0,90-1,15</t>
        </is>
      </c>
      <c r="H28" t="inlineStr">
        <is>
          <t>10%</t>
        </is>
      </c>
      <c r="I28" t="inlineStr">
        <is>
          <t>Coerencia do modelo de xG</t>
        </is>
      </c>
      <c r="J28" t="inlineStr">
        <is>
          <t>R18.44</t>
        </is>
      </c>
      <c r="K28" t="inlineStr">
        <is>
          <t>RESOLVIDO</t>
        </is>
      </c>
      <c r="L28" t="inlineStr">
        <is>
          <t>tools/r1843/diag_xg.js + tools/r1844/multibase44.js</t>
        </is>
      </c>
      <c r="M28" t="inlineStr">
        <is>
          <t>GATE NOVO. O modelo de xG deve prever os proprios gols do jogo. Faixa derivada de futebol real, onde o xG e calibrado contra gols e a razao fica ~1,0 — nao da saida do motor. R18.43 1,313 (reprova em 3/3) -&gt; R18.44 1,019 (bases 1,010 / 1,019 / 1,122). Nenhum gate da matriz forcava esta coerencia, e por isso um caminho de gol sem xG (goal_after_failed_reach) atravessou varias rodadas promovidas sem nada reprovar.</t>
        </is>
      </c>
    </row>
  </sheetData>
  <dataValidations count="3">
    <dataValidation sqref="B2:B27" showDropDown="0" showInputMessage="0" showErrorMessage="0" allowBlank="0" type="list">
      <formula1>"Ecologia,Causalidade,Espaço,Inteligência,Integridade,Dados,UX"</formula1>
    </dataValidation>
    <dataValidation sqref="D2:D27" showDropDown="0" showInputMessage="0" showErrorMessage="0" allowBlank="0" type="list">
      <formula1>"Node,Navegador,Ambos,Microcenário,Bateria,Copa,Manual"</formula1>
    </dataValidation>
    <dataValidation sqref="K2:K27" showDropDown="0" showInputMessage="0" showErrorMessage="0" allowBlank="0" type="list">
      <formula1>"RESOLVIDO,PROMISSOR,PARCIAL,BLOQUEADO,REDIAGNOSTICADO,ABERTO,PENDENTE,REJEITADO"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5" customWidth="1" min="4" max="4"/>
    <col width="30" customWidth="1" min="5" max="5"/>
    <col width="28" customWidth="1" min="6" max="6"/>
    <col width="16" customWidth="1" min="7" max="7"/>
    <col width="12" customWidth="1" min="8" max="8"/>
  </cols>
  <sheetData>
    <row r="1">
      <c r="A1" s="5" t="inlineStr">
        <is>
          <t>Release</t>
        </is>
      </c>
      <c r="B1" s="5" t="inlineStr">
        <is>
          <t>Objetivo</t>
        </is>
      </c>
      <c r="C1" s="5" t="inlineStr">
        <is>
          <t>Dependências</t>
        </is>
      </c>
      <c r="D1" s="5" t="inlineStr">
        <is>
          <t>Entrada</t>
        </is>
      </c>
      <c r="E1" s="5" t="inlineStr">
        <is>
          <t>Saída obrigatória</t>
        </is>
      </c>
      <c r="F1" s="5" t="inlineStr">
        <is>
          <t>Risco principal</t>
        </is>
      </c>
      <c r="G1" s="5" t="inlineStr">
        <is>
          <t>Status</t>
        </is>
      </c>
      <c r="H1" s="5" t="inlineStr">
        <is>
          <t>% pronto</t>
        </is>
      </c>
    </row>
    <row r="2">
      <c r="A2" s="2" t="inlineStr">
        <is>
          <t>R18.40A</t>
        </is>
      </c>
      <c r="B2" s="2" t="inlineStr">
        <is>
          <t>Fechar candidata interrompida</t>
        </is>
      </c>
      <c r="C2" s="2" t="inlineStr">
        <is>
          <t>R18.35 + tools/r1840</t>
        </is>
      </c>
      <c r="D2" s="2" t="inlineStr">
        <is>
          <t>goleiro/velocidade/fôlego</t>
        </is>
      </c>
      <c r="E2" s="2" t="inlineStr">
        <is>
          <t>HTML+JSON+SHA+commit</t>
        </is>
      </c>
      <c r="F2" s="2" t="inlineStr">
        <is>
          <t>chutes abaixo de 12</t>
        </is>
      </c>
      <c r="G2" s="2" t="inlineStr">
        <is>
          <t>EM EXECUÇÃO</t>
        </is>
      </c>
      <c r="H2" s="33" t="n">
        <v>0.45</v>
      </c>
    </row>
    <row r="3">
      <c r="A3" s="2" t="inlineStr">
        <is>
          <t>R18.40B</t>
        </is>
      </c>
      <c r="B3" s="2" t="inlineStr">
        <is>
          <t>Escalação correta + retune</t>
        </is>
      </c>
      <c r="C3" s="2" t="inlineStr">
        <is>
          <t>R18.40A</t>
        </is>
      </c>
      <c r="D3" s="2" t="inlineStr">
        <is>
          <t>patch escalação</t>
        </is>
      </c>
      <c r="E3" s="2" t="inlineStr">
        <is>
          <t>buckets de força aprovados</t>
        </is>
      </c>
      <c r="F3" s="2" t="inlineStr">
        <is>
          <t>gols/xG inflados</t>
        </is>
      </c>
      <c r="G3" s="2" t="inlineStr">
        <is>
          <t>PLANEJADO</t>
        </is>
      </c>
      <c r="H3" s="33" t="n">
        <v>0.15</v>
      </c>
    </row>
    <row r="4">
      <c r="A4" s="2" t="inlineStr">
        <is>
          <t>R18.41</t>
        </is>
      </c>
      <c r="B4" s="2" t="inlineStr">
        <is>
          <t>Causalidade dos escanteios</t>
        </is>
      </c>
      <c r="C4" s="2" t="inlineStr">
        <is>
          <t>R18.40B</t>
        </is>
      </c>
      <c r="D4" s="2" t="inlineStr">
        <is>
          <t>último toque + _ballOut</t>
        </is>
      </c>
      <c r="E4" s="2" t="inlineStr">
        <is>
          <t>corners legítimos 4–10</t>
        </is>
      </c>
      <c r="F4" s="2" t="inlineStr">
        <is>
          <t>retorno a eventos fabricados</t>
        </is>
      </c>
      <c r="G4" s="2" t="inlineStr">
        <is>
          <t>PLANEJADO</t>
        </is>
      </c>
      <c r="H4" s="33" t="n">
        <v>0.05</v>
      </c>
    </row>
    <row r="5">
      <c r="A5" s="2" t="inlineStr">
        <is>
          <t>R18.42</t>
        </is>
      </c>
      <c r="B5" s="2" t="inlineStr">
        <is>
          <t>Área e bolas paradas</t>
        </is>
      </c>
      <c r="C5" s="2" t="inlineStr">
        <is>
          <t>R18.41</t>
        </is>
      </c>
      <c r="D5" s="2" t="inlineStr">
        <is>
          <t>corners legítimos</t>
        </is>
      </c>
      <c r="E5" s="2" t="inlineStr">
        <is>
          <t>ocupação e variedade</t>
        </is>
      </c>
      <c r="F5" s="2" t="inlineStr">
        <is>
          <t>novo cardume na área</t>
        </is>
      </c>
      <c r="G5" s="2" t="inlineStr">
        <is>
          <t>PLANEJADO</t>
        </is>
      </c>
      <c r="H5" s="33" t="n">
        <v>0</v>
      </c>
    </row>
    <row r="6">
      <c r="A6" s="2" t="inlineStr">
        <is>
          <t>R18.43</t>
        </is>
      </c>
      <c r="B6" s="2" t="inlineStr">
        <is>
          <t>Cardume e espaço</t>
        </is>
      </c>
      <c r="C6" s="2" t="inlineStr">
        <is>
          <t>R18.42</t>
        </is>
      </c>
      <c r="D6" s="2" t="inlineStr">
        <is>
          <t>baseline estável</t>
        </is>
      </c>
      <c r="E6" s="2" t="inlineStr">
        <is>
          <t>bloco/terços corrigidos</t>
        </is>
      </c>
      <c r="F6" s="2" t="inlineStr">
        <is>
          <t>alto acoplamento</t>
        </is>
      </c>
      <c r="G6" s="2" t="inlineStr">
        <is>
          <t>PLANEJADO</t>
        </is>
      </c>
      <c r="H6" s="33" t="n">
        <v>0</v>
      </c>
    </row>
    <row r="7">
      <c r="A7" s="2" t="inlineStr">
        <is>
          <t>R18.44</t>
        </is>
      </c>
      <c r="B7" s="2" t="inlineStr">
        <is>
          <t>Inteligência com a bola</t>
        </is>
      </c>
      <c r="C7" s="2" t="inlineStr">
        <is>
          <t>R18.43</t>
        </is>
      </c>
      <c r="D7" s="2" t="inlineStr">
        <is>
          <t>ocupação corrigida</t>
        </is>
      </c>
      <c r="E7" s="2" t="inlineStr">
        <is>
          <t>condução e decisões</t>
        </is>
      </c>
      <c r="F7" s="2" t="inlineStr">
        <is>
          <t>ações comprometidas demais</t>
        </is>
      </c>
      <c r="G7" s="2" t="inlineStr">
        <is>
          <t>PLANEJADO</t>
        </is>
      </c>
      <c r="H7" s="33" t="n">
        <v>0</v>
      </c>
    </row>
    <row r="8">
      <c r="A8" s="2" t="inlineStr">
        <is>
          <t>R18.45</t>
        </is>
      </c>
      <c r="B8" s="2" t="inlineStr">
        <is>
          <t>Identidade tática</t>
        </is>
      </c>
      <c r="C8" s="2" t="inlineStr">
        <is>
          <t>R18.44</t>
        </is>
      </c>
      <c r="D8" s="2" t="inlineStr">
        <is>
          <t>ecologia consolidada</t>
        </is>
      </c>
      <c r="E8" s="2" t="inlineStr">
        <is>
          <t>estilos distinguíveis</t>
        </is>
      </c>
      <c r="F8" s="2" t="inlineStr">
        <is>
          <t>calibração cosmética</t>
        </is>
      </c>
      <c r="G8" s="2" t="inlineStr">
        <is>
          <t>PLANEJADO</t>
        </is>
      </c>
      <c r="H8" s="33" t="n">
        <v>0</v>
      </c>
    </row>
  </sheetData>
  <conditionalFormatting sqref="H2:H8">
    <cfRule type="dataBar" priority="1">
      <dataBar>
        <cfvo type="min"/>
        <cfvo type="max"/>
        <color rgb="FFA02B93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4" customWidth="1" min="4" max="4"/>
    <col width="34" customWidth="1" min="5" max="5"/>
    <col width="16" customWidth="1" min="6" max="6"/>
    <col width="14" customWidth="1" min="7" max="7"/>
    <col width="15" customWidth="1" min="8" max="8"/>
    <col width="24" customWidth="1" min="9" max="9"/>
  </cols>
  <sheetData>
    <row r="1">
      <c r="A1" s="5" t="inlineStr">
        <is>
          <t>ID</t>
        </is>
      </c>
      <c r="B1" s="5" t="inlineStr">
        <is>
          <t>Domínio</t>
        </is>
      </c>
      <c r="C1" s="5" t="inlineStr">
        <is>
          <t>Estado inicial</t>
        </is>
      </c>
      <c r="D1" s="5" t="inlineStr">
        <is>
          <t>Ação</t>
        </is>
      </c>
      <c r="E1" s="5" t="inlineStr">
        <is>
          <t>Asserção</t>
        </is>
      </c>
      <c r="F1" s="5" t="inlineStr">
        <is>
          <t>Ambiente</t>
        </is>
      </c>
      <c r="G1" s="5" t="inlineStr">
        <is>
          <t>Release</t>
        </is>
      </c>
      <c r="H1" s="5" t="inlineStr">
        <is>
          <t>Status</t>
        </is>
      </c>
      <c r="I1" s="5" t="inlineStr">
        <is>
          <t>Evidência</t>
        </is>
      </c>
    </row>
    <row r="2">
      <c r="A2" s="2" t="inlineStr">
        <is>
          <t>GK-01</t>
        </is>
      </c>
      <c r="B2" s="2" t="inlineStr">
        <is>
          <t>Goleiro</t>
        </is>
      </c>
      <c r="C2" s="2" t="inlineStr">
        <is>
          <t>chute alcançável</t>
        </is>
      </c>
      <c r="D2" s="2" t="inlineStr">
        <is>
          <t>simular trajetória</t>
        </is>
      </c>
      <c r="E2" s="2" t="inlineStr">
        <is>
          <t>contato válido sem teleporte</t>
        </is>
      </c>
      <c r="F2" s="2" t="inlineStr">
        <is>
          <t>Microcenário</t>
        </is>
      </c>
      <c r="G2" s="2" t="inlineStr">
        <is>
          <t>R18.40A</t>
        </is>
      </c>
      <c r="H2" s="2" t="inlineStr">
        <is>
          <t>ABERTO</t>
        </is>
      </c>
      <c r="I2" s="2" t="str"/>
    </row>
    <row r="3">
      <c r="A3" s="2" t="inlineStr">
        <is>
          <t>GK-02</t>
        </is>
      </c>
      <c r="B3" s="2" t="inlineStr">
        <is>
          <t>Goleiro</t>
        </is>
      </c>
      <c r="C3" s="2" t="inlineStr">
        <is>
          <t>chute inalcançável</t>
        </is>
      </c>
      <c r="D3" s="2" t="inlineStr">
        <is>
          <t>simular trajetória</t>
        </is>
      </c>
      <c r="E3" s="2" t="inlineStr">
        <is>
          <t>plano não promete defesa</t>
        </is>
      </c>
      <c r="F3" s="2" t="inlineStr">
        <is>
          <t>Microcenário</t>
        </is>
      </c>
      <c r="G3" s="2" t="inlineStr">
        <is>
          <t>R18.40A</t>
        </is>
      </c>
      <c r="H3" s="2" t="inlineStr">
        <is>
          <t>ABERTO</t>
        </is>
      </c>
      <c r="I3" s="2" t="str"/>
    </row>
    <row r="4">
      <c r="A4" s="2" t="inlineStr">
        <is>
          <t>GK-03</t>
        </is>
      </c>
      <c r="B4" s="2" t="inlineStr">
        <is>
          <t>Goleiro</t>
        </is>
      </c>
      <c r="C4" s="2" t="inlineStr">
        <is>
          <t>maxSpd conhecido</t>
        </is>
      </c>
      <c r="D4" s="2" t="inlineStr">
        <is>
          <t>calcular interceptação</t>
        </is>
      </c>
      <c r="E4" s="2" t="inlineStr">
        <is>
          <t>velocidade planejada &lt;= maxSpd</t>
        </is>
      </c>
      <c r="F4" s="2" t="inlineStr">
        <is>
          <t>Microcenário</t>
        </is>
      </c>
      <c r="G4" s="2" t="inlineStr">
        <is>
          <t>R18.40A</t>
        </is>
      </c>
      <c r="H4" s="2" t="inlineStr">
        <is>
          <t>ABERTO</t>
        </is>
      </c>
      <c r="I4" s="2" t="str"/>
    </row>
    <row r="5">
      <c r="A5" s="2" t="inlineStr">
        <is>
          <t>LU-01</t>
        </is>
      </c>
      <c r="B5" s="2" t="inlineStr">
        <is>
          <t>Escalação</t>
        </is>
      </c>
      <c r="C5" s="2" t="inlineStr">
        <is>
          <t>Bélgica sem CAM</t>
        </is>
      </c>
      <c r="D5" s="2" t="inlineStr">
        <is>
          <t>escalar CM</t>
        </is>
      </c>
      <c r="E5" s="2" t="inlineStr">
        <is>
          <t>De Bruyne disputa vaga</t>
        </is>
      </c>
      <c r="F5" s="2" t="inlineStr">
        <is>
          <t>Navegador</t>
        </is>
      </c>
      <c r="G5" s="2" t="inlineStr">
        <is>
          <t>R18.40B</t>
        </is>
      </c>
      <c r="H5" s="2" t="inlineStr">
        <is>
          <t>PROMISSOR</t>
        </is>
      </c>
      <c r="I5" s="2" t="inlineStr">
        <is>
          <t>patch medido</t>
        </is>
      </c>
    </row>
    <row r="6">
      <c r="A6" s="2" t="inlineStr">
        <is>
          <t>LU-02</t>
        </is>
      </c>
      <c r="B6" s="2" t="inlineStr">
        <is>
          <t>Escalação</t>
        </is>
      </c>
      <c r="C6" s="2" t="inlineStr">
        <is>
          <t>Brasil 1970</t>
        </is>
      </c>
      <c r="D6" s="2" t="inlineStr">
        <is>
          <t>escalar ST/CF</t>
        </is>
      </c>
      <c r="E6" s="2" t="inlineStr">
        <is>
          <t>Pelé não perde para 69 elegível</t>
        </is>
      </c>
      <c r="F6" s="2" t="inlineStr">
        <is>
          <t>Navegador</t>
        </is>
      </c>
      <c r="G6" s="2" t="inlineStr">
        <is>
          <t>R18.40B</t>
        </is>
      </c>
      <c r="H6" s="2" t="inlineStr">
        <is>
          <t>PROMISSOR</t>
        </is>
      </c>
      <c r="I6" s="2" t="inlineStr">
        <is>
          <t>patch medido</t>
        </is>
      </c>
    </row>
    <row r="7">
      <c r="A7" s="2" t="inlineStr">
        <is>
          <t>CO-01</t>
        </is>
      </c>
      <c r="B7" s="2" t="inlineStr">
        <is>
          <t>Escanteio</t>
        </is>
      </c>
      <c r="C7" s="2" t="inlineStr">
        <is>
          <t>zagueiro pressionado</t>
        </is>
      </c>
      <c r="D7" s="2" t="inlineStr">
        <is>
          <t>cortar para fundo</t>
        </is>
      </c>
      <c r="E7" s="2" t="inlineStr">
        <is>
          <t>saída + último toque + corner</t>
        </is>
      </c>
      <c r="F7" s="2" t="inlineStr">
        <is>
          <t>Microcenário</t>
        </is>
      </c>
      <c r="G7" s="2" t="inlineStr">
        <is>
          <t>R18.41</t>
        </is>
      </c>
      <c r="H7" s="2" t="inlineStr">
        <is>
          <t>ABERTO</t>
        </is>
      </c>
      <c r="I7" s="2" t="str"/>
    </row>
    <row r="8">
      <c r="A8" s="2" t="inlineStr">
        <is>
          <t>CO-02</t>
        </is>
      </c>
      <c r="B8" s="2" t="inlineStr">
        <is>
          <t>Escanteio</t>
        </is>
      </c>
      <c r="C8" s="2" t="inlineStr">
        <is>
          <t>último toque atacante</t>
        </is>
      </c>
      <c r="D8" s="2" t="inlineStr">
        <is>
          <t>bola sai</t>
        </is>
      </c>
      <c r="E8" s="2" t="inlineStr">
        <is>
          <t>tiro de meta</t>
        </is>
      </c>
      <c r="F8" s="2" t="inlineStr">
        <is>
          <t>Microcenário</t>
        </is>
      </c>
      <c r="G8" s="2" t="inlineStr">
        <is>
          <t>R18.41</t>
        </is>
      </c>
      <c r="H8" s="2" t="inlineStr">
        <is>
          <t>ABERTO</t>
        </is>
      </c>
      <c r="I8" s="2" t="str"/>
    </row>
    <row r="9">
      <c r="A9" s="2" t="inlineStr">
        <is>
          <t>CO-03</t>
        </is>
      </c>
      <c r="B9" s="2" t="inlineStr">
        <is>
          <t>Escanteio</t>
        </is>
      </c>
      <c r="C9" s="2" t="inlineStr">
        <is>
          <t>corner concedido</t>
        </is>
      </c>
      <c r="D9" s="2" t="inlineStr">
        <is>
          <t>executar restart</t>
        </is>
      </c>
      <c r="E9" s="2" t="inlineStr">
        <is>
          <t>corner_delivery correspondente</t>
        </is>
      </c>
      <c r="F9" s="2" t="inlineStr">
        <is>
          <t>Microcenário</t>
        </is>
      </c>
      <c r="G9" s="2" t="inlineStr">
        <is>
          <t>R18.41</t>
        </is>
      </c>
      <c r="H9" s="2" t="inlineStr">
        <is>
          <t>ABERTO</t>
        </is>
      </c>
      <c r="I9" s="2" t="str"/>
    </row>
    <row r="10">
      <c r="A10" s="2" t="inlineStr">
        <is>
          <t>SP-01</t>
        </is>
      </c>
      <c r="B10" s="2" t="inlineStr">
        <is>
          <t>Espaço</t>
        </is>
      </c>
      <c r="C10" s="2" t="inlineStr">
        <is>
          <t>posse estabilizada</t>
        </is>
      </c>
      <c r="D10" s="2" t="inlineStr">
        <is>
          <t>amostrar grade</t>
        </is>
      </c>
      <c r="E10" s="2" t="inlineStr">
        <is>
          <t>ocupação e bloco dentro da faixa</t>
        </is>
      </c>
      <c r="F10" s="2" t="inlineStr">
        <is>
          <t>Bateria</t>
        </is>
      </c>
      <c r="G10" s="2" t="inlineStr">
        <is>
          <t>R18.43</t>
        </is>
      </c>
      <c r="H10" s="2" t="inlineStr">
        <is>
          <t>ABERTO</t>
        </is>
      </c>
      <c r="I10" s="2" t="str"/>
    </row>
    <row r="11">
      <c r="A11" s="2" t="inlineStr">
        <is>
          <t>SP-02</t>
        </is>
      </c>
      <c r="B11" s="2" t="inlineStr">
        <is>
          <t>Espaço</t>
        </is>
      </c>
      <c r="C11" s="2" t="inlineStr">
        <is>
          <t>4-2-4 ofensivo</t>
        </is>
      </c>
      <c r="D11" s="2" t="inlineStr">
        <is>
          <t>atacar defesa</t>
        </is>
      </c>
      <c r="E11" s="2" t="inlineStr">
        <is>
          <t>cobertura e referências mantidas</t>
        </is>
      </c>
      <c r="F11" s="2" t="inlineStr">
        <is>
          <t>Navegador</t>
        </is>
      </c>
      <c r="G11" s="2" t="inlineStr">
        <is>
          <t>R18.43</t>
        </is>
      </c>
      <c r="H11" s="2" t="inlineStr">
        <is>
          <t>ABERTO</t>
        </is>
      </c>
      <c r="I11" s="2" t="str"/>
    </row>
    <row r="12">
      <c r="A12" s="2" t="inlineStr">
        <is>
          <t>CA-01</t>
        </is>
      </c>
      <c r="B12" s="2" t="inlineStr">
        <is>
          <t>Condução</t>
        </is>
      </c>
      <c r="C12" s="2" t="inlineStr">
        <is>
          <t>20 m livres</t>
        </is>
      </c>
      <c r="D12" s="2" t="inlineStr">
        <is>
          <t>decidir</t>
        </is>
      </c>
      <c r="E12" s="2" t="inlineStr">
        <is>
          <t>conduzir antes de chutar</t>
        </is>
      </c>
      <c r="F12" s="2" t="inlineStr">
        <is>
          <t>Microcenário</t>
        </is>
      </c>
      <c r="G12" s="2" t="inlineStr">
        <is>
          <t>R18.44</t>
        </is>
      </c>
      <c r="H12" s="2" t="inlineStr">
        <is>
          <t>ABERTO</t>
        </is>
      </c>
      <c r="I12" s="2" t="str"/>
    </row>
    <row r="13">
      <c r="A13" s="2" t="inlineStr">
        <is>
          <t>CA-02</t>
        </is>
      </c>
      <c r="B13" s="2" t="inlineStr">
        <is>
          <t>Condução</t>
        </is>
      </c>
      <c r="C13" s="2" t="inlineStr">
        <is>
          <t>defensor fecha corredor</t>
        </is>
      </c>
      <c r="D13" s="2" t="inlineStr">
        <is>
          <t>decidir</t>
        </is>
      </c>
      <c r="E13" s="2" t="inlineStr">
        <is>
          <t>cancelar compromisso</t>
        </is>
      </c>
      <c r="F13" s="2" t="inlineStr">
        <is>
          <t>Microcenário</t>
        </is>
      </c>
      <c r="G13" s="2" t="inlineStr">
        <is>
          <t>R18.44</t>
        </is>
      </c>
      <c r="H13" s="2" t="inlineStr">
        <is>
          <t>ABERTO</t>
        </is>
      </c>
      <c r="I13" s="2" t="str"/>
    </row>
    <row r="14">
      <c r="A14" s="2" t="inlineStr">
        <is>
          <t>SH-01</t>
        </is>
      </c>
      <c r="B14" s="2" t="inlineStr">
        <is>
          <t>Finalização</t>
        </is>
      </c>
      <c r="C14" s="2" t="inlineStr">
        <is>
          <t>xG mínimo + opções</t>
        </is>
      </c>
      <c r="D14" s="2" t="inlineStr">
        <is>
          <t>decidir</t>
        </is>
      </c>
      <c r="E14" s="2" t="inlineStr">
        <is>
          <t>não chutar do meio-campo</t>
        </is>
      </c>
      <c r="F14" s="2" t="inlineStr">
        <is>
          <t>Microcenário</t>
        </is>
      </c>
      <c r="G14" s="2" t="inlineStr">
        <is>
          <t>R18.44</t>
        </is>
      </c>
      <c r="H14" s="2" t="inlineStr">
        <is>
          <t>ABERTO</t>
        </is>
      </c>
      <c r="I14" s="2" t="str"/>
    </row>
    <row r="15">
      <c r="A15" s="2" t="inlineStr">
        <is>
          <t>FK-01</t>
        </is>
      </c>
      <c r="B15" s="2" t="inlineStr">
        <is>
          <t>Falta</t>
        </is>
      </c>
      <c r="C15" s="2" t="inlineStr">
        <is>
          <t>falta perigosa</t>
        </is>
      </c>
      <c r="D15" s="2" t="inlineStr">
        <is>
          <t>cobrar</t>
        </is>
      </c>
      <c r="E15" s="2" t="inlineStr">
        <is>
          <t>pausa &gt;1,5 s</t>
        </is>
      </c>
      <c r="F15" s="2" t="inlineStr">
        <is>
          <t>Microcenário</t>
        </is>
      </c>
      <c r="G15" s="2" t="inlineStr">
        <is>
          <t>regressão</t>
        </is>
      </c>
      <c r="H15" s="2" t="inlineStr">
        <is>
          <t>RESOLVIDO</t>
        </is>
      </c>
      <c r="I15" s="2" t="inlineStr">
        <is>
          <t>R18.35</t>
        </is>
      </c>
    </row>
    <row r="16">
      <c r="A16" s="2" t="inlineStr">
        <is>
          <t>TA-01</t>
        </is>
      </c>
      <c r="B16" s="2" t="inlineStr">
        <is>
          <t>Tática</t>
        </is>
      </c>
      <c r="C16" s="2" t="inlineStr">
        <is>
          <t>mesma seed/elencos</t>
        </is>
      </c>
      <c r="D16" s="2" t="inlineStr">
        <is>
          <t>variar estilo</t>
        </is>
      </c>
      <c r="E16" s="2" t="inlineStr">
        <is>
          <t>assinaturas separáveis</t>
        </is>
      </c>
      <c r="F16" s="2" t="inlineStr">
        <is>
          <t>Ambos</t>
        </is>
      </c>
      <c r="G16" s="2" t="inlineStr">
        <is>
          <t>R18.45</t>
        </is>
      </c>
      <c r="H16" s="2" t="inlineStr">
        <is>
          <t>ABERTO</t>
        </is>
      </c>
      <c r="I16" s="2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1" t="inlineStr">
        <is>
          <t>COPA DOS SONHOS - PAINEL DE CONTINUIDADE R18.40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3" t="inlineStr">
        <is>
          <t>Indicador</t>
        </is>
      </c>
      <c r="B4" s="23" t="inlineStr">
        <is>
          <t>Valor</t>
        </is>
      </c>
      <c r="D4" s="23" t="inlineStr">
        <is>
          <t>Status</t>
        </is>
      </c>
      <c r="E4" s="23" t="inlineStr">
        <is>
          <t>Quantidade</t>
        </is>
      </c>
    </row>
    <row r="5">
      <c r="A5" t="inlineStr">
        <is>
          <t>Ordens resolvidas</t>
        </is>
      </c>
      <c r="B5">
        <f>COUNTIF('OS Status'!C2:C11,"RESOLVIDO")</f>
        <v/>
      </c>
      <c r="D5" t="inlineStr">
        <is>
          <t>RESOLVIDO</t>
        </is>
      </c>
      <c r="E5">
        <f>COUNTIF('OS Status'!C2:C11,D5)</f>
        <v/>
      </c>
    </row>
    <row r="6">
      <c r="A6" t="inlineStr">
        <is>
          <t>Promissoras</t>
        </is>
      </c>
      <c r="B6">
        <f>COUNTIF('OS Status'!C2:C11,"PROMISSOR")</f>
        <v/>
      </c>
      <c r="D6" t="inlineStr">
        <is>
          <t>PROMISSOR</t>
        </is>
      </c>
      <c r="E6">
        <f>COUNTIF('OS Status'!C2:C11,D6)</f>
        <v/>
      </c>
    </row>
    <row r="7">
      <c r="A7" t="inlineStr">
        <is>
          <t>Abertas / bloqueadas</t>
        </is>
      </c>
      <c r="B7">
        <f>COUNTIF('OS Status'!C2:C11,"ABERTO")+COUNTIF('OS Status'!C2:C11,"BLOQUEADO")+COUNTIF('OS Status'!C2:C11,"REDIAGNOSTICADO")</f>
        <v/>
      </c>
      <c r="D7" t="inlineStr">
        <is>
          <t>PARCIAL</t>
        </is>
      </c>
      <c r="E7">
        <f>COUNTIF('OS Status'!C2:C11,D7)</f>
        <v/>
      </c>
    </row>
    <row r="8">
      <c r="A8" t="inlineStr">
        <is>
          <t>Progresso médio</t>
        </is>
      </c>
      <c r="B8" s="34">
        <f>AVERAGE('OS Status'!I2:I11)</f>
        <v/>
      </c>
      <c r="D8" t="inlineStr">
        <is>
          <t>BLOQUEADO</t>
        </is>
      </c>
      <c r="E8">
        <f>COUNTIF('OS Status'!C2:C11,D8)</f>
        <v/>
      </c>
    </row>
    <row r="9">
      <c r="D9" t="inlineStr">
        <is>
          <t>REDIAGNOSTICADO</t>
        </is>
      </c>
      <c r="E9">
        <f>COUNTIF('OS Status'!C2:C11,D9)</f>
        <v/>
      </c>
    </row>
    <row r="10">
      <c r="D10" t="inlineStr">
        <is>
          <t>ABERTO</t>
        </is>
      </c>
      <c r="E10">
        <f>COUNTIF('OS Status'!C2:C11,D10)</f>
        <v/>
      </c>
    </row>
    <row r="11">
      <c r="A11" s="31" t="inlineStr">
        <is>
          <t>Próxima decisão: fechar R18.40A antes de iniciar escalação, escanteios ou cardume.</t>
        </is>
      </c>
      <c r="B11" s="1" t="n"/>
      <c r="C11" s="1" t="n"/>
      <c r="D11" s="1" t="n"/>
      <c r="E11" s="1" t="n"/>
      <c r="F11" s="1" t="n"/>
      <c r="G11" s="1" t="n"/>
      <c r="H11" s="1" t="n"/>
    </row>
    <row r="13">
      <c r="A13" s="32" t="inlineStr">
        <is>
          <t>Bloqueio</t>
        </is>
      </c>
      <c r="B13" s="32" t="inlineStr">
        <is>
          <t>Evidência</t>
        </is>
      </c>
      <c r="C13" s="32" t="inlineStr">
        <is>
          <t>Consequência</t>
        </is>
      </c>
      <c r="D13" s="32" t="inlineStr">
        <is>
          <t>Ação</t>
        </is>
      </c>
      <c r="E13" s="2" t="n"/>
      <c r="F13" s="2" t="n"/>
      <c r="G13" s="2" t="n"/>
      <c r="H13" s="2" t="n"/>
    </row>
    <row r="14">
      <c r="A14" s="2" t="inlineStr">
        <is>
          <t>Harness incompleto</t>
        </is>
      </c>
      <c r="B14" s="2" t="inlineStr">
        <is>
          <t>document is not defined silenciado</t>
        </is>
      </c>
      <c r="C14" s="2" t="inlineStr">
        <is>
          <t>certificação parcial</t>
        </is>
      </c>
      <c r="D14" s="2" t="inlineStr">
        <is>
          <t>falhar explicitamente + símbolos</t>
        </is>
      </c>
      <c r="E14" s="2" t="n"/>
      <c r="F14" s="2" t="n"/>
      <c r="G14" s="2" t="n"/>
      <c r="H14" s="2" t="n"/>
    </row>
    <row r="15">
      <c r="A15" s="2" t="inlineStr">
        <is>
          <t>Candidata sem veredito</t>
        </is>
      </c>
      <c r="B15" s="2" t="inlineStr">
        <is>
          <t>avaliação final falhou</t>
        </is>
      </c>
      <c r="C15" s="2" t="inlineStr">
        <is>
          <t>R18.40 não promovida</t>
        </is>
      </c>
      <c r="D15" s="2" t="inlineStr">
        <is>
          <t>recuperar JSON ou rerodar</t>
        </is>
      </c>
      <c r="E15" s="2" t="n"/>
      <c r="F15" s="2" t="n"/>
      <c r="G15" s="2" t="n"/>
      <c r="H15" s="2" t="n"/>
    </row>
    <row r="16">
      <c r="A16" s="2" t="inlineStr">
        <is>
          <t>Escalação correta quebra gates</t>
        </is>
      </c>
      <c r="B16" s="2" t="inlineStr">
        <is>
          <t>Pelé 98 entra no lugar de 69</t>
        </is>
      </c>
      <c r="C16" s="2" t="inlineStr">
        <is>
          <t>gols/xG sobem</t>
        </is>
      </c>
      <c r="D16" s="2" t="inlineStr">
        <is>
          <t>R18.40B com retune</t>
        </is>
      </c>
      <c r="E16" s="2" t="n"/>
      <c r="F16" s="2" t="n"/>
      <c r="G16" s="2" t="n"/>
      <c r="H16" s="2" t="n"/>
    </row>
    <row r="17">
      <c r="A17" s="2" t="inlineStr">
        <is>
          <t>OS-05 aponta para código morto</t>
        </is>
      </c>
      <c r="B17" s="2" t="inlineStr">
        <is>
          <t>_clearBall 0/12</t>
        </is>
      </c>
      <c r="C17" s="2" t="inlineStr">
        <is>
          <t>patch simples inútil</t>
        </is>
      </c>
      <c r="D17" s="2" t="inlineStr">
        <is>
          <t>redesenhar corte + _ballOut</t>
        </is>
      </c>
      <c r="E17" s="2" t="n"/>
      <c r="F17" s="2" t="n"/>
      <c r="G17" s="2" t="n"/>
      <c r="H17" s="2" t="n"/>
    </row>
    <row r="18">
      <c r="A18" s="2" t="inlineStr">
        <is>
          <t>OS-01 acima do alvo</t>
        </is>
      </c>
      <c r="B18" s="2" t="inlineStr">
        <is>
          <t>10,8% &gt; 8%</t>
        </is>
      </c>
      <c r="C18" s="2" t="inlineStr">
        <is>
          <t>item parcial</t>
        </is>
      </c>
      <c r="D18" s="2" t="inlineStr">
        <is>
          <t>paridade de velocidade</t>
        </is>
      </c>
      <c r="E18" s="2" t="n"/>
      <c r="F18" s="2" t="n"/>
      <c r="G18" s="2" t="n"/>
      <c r="H18" s="2" t="n"/>
    </row>
  </sheetData>
  <mergeCells count="2">
    <mergeCell ref="A1:H2"/>
    <mergeCell ref="A11:H1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7" customWidth="1" min="7" max="7"/>
    <col width="10" customWidth="1" min="8" max="8"/>
    <col width="10" customWidth="1" min="9" max="9"/>
    <col width="10" customWidth="1" min="10" max="10"/>
    <col width="13" customWidth="1" min="11" max="11"/>
    <col width="22" customWidth="1" min="12" max="12"/>
    <col width="24" customWidth="1" min="13" max="13"/>
  </cols>
  <sheetData>
    <row r="1">
      <c r="A1" t="inlineStr">
        <is>
          <t>Gate</t>
        </is>
      </c>
      <c r="B1" t="inlineStr">
        <is>
          <t>Metrica</t>
        </is>
      </c>
      <c r="C1" t="inlineStr">
        <is>
          <t>Faixa</t>
        </is>
      </c>
      <c r="D1" t="inlineStr">
        <is>
          <t>Baseline s1</t>
        </is>
      </c>
      <c r="E1" t="inlineStr">
        <is>
          <t>s2</t>
        </is>
      </c>
      <c r="F1" t="inlineStr">
        <is>
          <t>s3</t>
        </is>
      </c>
      <c r="G1" t="inlineStr">
        <is>
          <t>Baseline mediana</t>
        </is>
      </c>
      <c r="H1" t="inlineStr">
        <is>
          <t>Cand s1</t>
        </is>
      </c>
      <c r="I1" t="inlineStr">
        <is>
          <t>s2</t>
        </is>
      </c>
      <c r="J1" t="inlineStr">
        <is>
          <t>s3</t>
        </is>
      </c>
      <c r="K1" t="inlineStr">
        <is>
          <t>Cand mediana</t>
        </is>
      </c>
      <c r="L1" t="inlineStr">
        <is>
          <t>Baseline cumpre (de 3)</t>
        </is>
      </c>
      <c r="M1" t="inlineStr">
        <is>
          <t>Candidata cumpre mediana</t>
        </is>
      </c>
    </row>
    <row r="2">
      <c r="A2" t="inlineStr">
        <is>
          <t>ECO-01</t>
        </is>
      </c>
      <c r="B2" t="inlineStr">
        <is>
          <t>goals</t>
        </is>
      </c>
      <c r="C2" t="inlineStr">
        <is>
          <t>&gt;=2,4 e &lt;=3,2</t>
        </is>
      </c>
      <c r="D2" t="inlineStr">
        <is>
          <t>2,729</t>
        </is>
      </c>
      <c r="E2" t="inlineStr">
        <is>
          <t>2,646</t>
        </is>
      </c>
      <c r="F2" t="inlineStr">
        <is>
          <t>2,792</t>
        </is>
      </c>
      <c r="G2" t="inlineStr">
        <is>
          <t>2,729</t>
        </is>
      </c>
      <c r="H2" t="inlineStr">
        <is>
          <t>3,063</t>
        </is>
      </c>
      <c r="I2" t="inlineStr">
        <is>
          <t>3,125</t>
        </is>
      </c>
      <c r="J2" t="inlineStr">
        <is>
          <t>3,521</t>
        </is>
      </c>
      <c r="K2" t="inlineStr">
        <is>
          <t>3,125</t>
        </is>
      </c>
      <c r="L2" t="inlineStr">
        <is>
          <t>3/3</t>
        </is>
      </c>
      <c r="M2" t="inlineStr">
        <is>
          <t>SIM</t>
        </is>
      </c>
    </row>
    <row r="3">
      <c r="A3" t="inlineStr">
        <is>
          <t>ECO-02</t>
        </is>
      </c>
      <c r="B3" t="inlineStr">
        <is>
          <t>xg</t>
        </is>
      </c>
      <c r="C3" t="inlineStr">
        <is>
          <t>&gt;=1,8 e &lt;=2,7</t>
        </is>
      </c>
      <c r="D3" t="inlineStr">
        <is>
          <t>2,067</t>
        </is>
      </c>
      <c r="E3" t="inlineStr">
        <is>
          <t>1,882</t>
        </is>
      </c>
      <c r="F3" t="inlineStr">
        <is>
          <t>2,099</t>
        </is>
      </c>
      <c r="G3" t="inlineStr">
        <is>
          <t>2,067</t>
        </is>
      </c>
      <c r="H3" t="inlineStr">
        <is>
          <t>2,421</t>
        </is>
      </c>
      <c r="I3" t="inlineStr">
        <is>
          <t>2,380</t>
        </is>
      </c>
      <c r="J3" t="inlineStr">
        <is>
          <t>2,557</t>
        </is>
      </c>
      <c r="K3" t="inlineStr">
        <is>
          <t>2,421</t>
        </is>
      </c>
      <c r="L3" t="inlineStr">
        <is>
          <t>3/3</t>
        </is>
      </c>
      <c r="M3" t="inlineStr">
        <is>
          <t>SIM</t>
        </is>
      </c>
    </row>
    <row r="4">
      <c r="A4" t="inlineStr">
        <is>
          <t>ECO-03</t>
        </is>
      </c>
      <c r="B4" t="inlineStr">
        <is>
          <t>shots</t>
        </is>
      </c>
      <c r="C4" t="inlineStr">
        <is>
          <t>&gt;=12,0 e &lt;=20,0</t>
        </is>
      </c>
      <c r="D4" t="inlineStr">
        <is>
          <t>12,042</t>
        </is>
      </c>
      <c r="E4" t="inlineStr">
        <is>
          <t>11,438</t>
        </is>
      </c>
      <c r="F4" t="inlineStr">
        <is>
          <t>12,563</t>
        </is>
      </c>
      <c r="G4" t="inlineStr">
        <is>
          <t>12,042</t>
        </is>
      </c>
      <c r="H4" t="inlineStr">
        <is>
          <t>14,563</t>
        </is>
      </c>
      <c r="I4" t="inlineStr">
        <is>
          <t>14,542</t>
        </is>
      </c>
      <c r="J4" t="inlineStr">
        <is>
          <t>15,417</t>
        </is>
      </c>
      <c r="K4" t="inlineStr">
        <is>
          <t>14,563</t>
        </is>
      </c>
      <c r="L4" t="inlineStr">
        <is>
          <t>2/3</t>
        </is>
      </c>
      <c r="M4" t="inlineStr">
        <is>
          <t>SIM</t>
        </is>
      </c>
    </row>
    <row r="5">
      <c r="A5" t="inlineStr">
        <is>
          <t>ECO-04</t>
        </is>
      </c>
      <c r="B5" t="inlineStr">
        <is>
          <t>onTarget</t>
        </is>
      </c>
      <c r="C5" t="inlineStr">
        <is>
          <t>&gt;=4,0 e &lt;=7,0</t>
        </is>
      </c>
      <c r="D5" t="inlineStr">
        <is>
          <t>4,604</t>
        </is>
      </c>
      <c r="E5" t="inlineStr">
        <is>
          <t>4,417</t>
        </is>
      </c>
      <c r="F5" t="inlineStr">
        <is>
          <t>5,042</t>
        </is>
      </c>
      <c r="G5" t="inlineStr">
        <is>
          <t>4,604</t>
        </is>
      </c>
      <c r="H5" t="inlineStr">
        <is>
          <t>5,688</t>
        </is>
      </c>
      <c r="I5" t="inlineStr">
        <is>
          <t>5,667</t>
        </is>
      </c>
      <c r="J5" t="inlineStr">
        <is>
          <t>6,083</t>
        </is>
      </c>
      <c r="K5" t="inlineStr">
        <is>
          <t>5,688</t>
        </is>
      </c>
      <c r="L5" t="inlineStr">
        <is>
          <t>3/3</t>
        </is>
      </c>
      <c r="M5" t="inlineStr">
        <is>
          <t>SIM</t>
        </is>
      </c>
    </row>
    <row r="6">
      <c r="A6" t="inlineStr">
        <is>
          <t>ESP-01</t>
        </is>
      </c>
      <c r="B6" t="inlineStr">
        <is>
          <t>vazio_r8</t>
        </is>
      </c>
      <c r="C6" t="inlineStr">
        <is>
          <t>&lt;=50,0</t>
        </is>
      </c>
      <c r="D6" t="inlineStr">
        <is>
          <t>68,595</t>
        </is>
      </c>
      <c r="E6" t="inlineStr">
        <is>
          <t>69,122</t>
        </is>
      </c>
      <c r="F6" t="inlineStr">
        <is>
          <t>68,696</t>
        </is>
      </c>
      <c r="G6" t="inlineStr">
        <is>
          <t>68,696</t>
        </is>
      </c>
      <c r="H6" t="inlineStr">
        <is>
          <t>67,884</t>
        </is>
      </c>
      <c r="I6" t="inlineStr">
        <is>
          <t>68,207</t>
        </is>
      </c>
      <c r="J6" t="inlineStr">
        <is>
          <t>68,061</t>
        </is>
      </c>
      <c r="K6" t="inlineStr">
        <is>
          <t>68,061</t>
        </is>
      </c>
      <c r="L6" t="inlineStr">
        <is>
          <t>0/3</t>
        </is>
      </c>
      <c r="M6" t="inlineStr">
        <is>
          <t>NAO</t>
        </is>
      </c>
    </row>
    <row r="7">
      <c r="A7" t="inlineStr">
        <is>
          <t>ESP-02</t>
        </is>
      </c>
      <c r="B7" t="inlineStr">
        <is>
          <t>bloco_m</t>
        </is>
      </c>
      <c r="C7" t="inlineStr">
        <is>
          <t>&gt;=35,0</t>
        </is>
      </c>
      <c r="D7" t="inlineStr">
        <is>
          <t>32,843</t>
        </is>
      </c>
      <c r="E7" t="inlineStr">
        <is>
          <t>32,246</t>
        </is>
      </c>
      <c r="F7" t="inlineStr">
        <is>
          <t>32,856</t>
        </is>
      </c>
      <c r="G7" t="inlineStr">
        <is>
          <t>32,843</t>
        </is>
      </c>
      <c r="H7" t="inlineStr">
        <is>
          <t>37,068</t>
        </is>
      </c>
      <c r="I7" t="inlineStr">
        <is>
          <t>36,395</t>
        </is>
      </c>
      <c r="J7" t="inlineStr">
        <is>
          <t>37,098</t>
        </is>
      </c>
      <c r="K7" t="inlineStr">
        <is>
          <t>37,068</t>
        </is>
      </c>
      <c r="L7" t="inlineStr">
        <is>
          <t>0/3</t>
        </is>
      </c>
      <c r="M7" t="inlineStr">
        <is>
          <t>SIM</t>
        </is>
      </c>
    </row>
    <row r="8">
      <c r="A8" t="inlineStr">
        <is>
          <t>ESP-03</t>
        </is>
      </c>
      <c r="B8" t="inlineStr">
        <is>
          <t>zaga_ataque_m</t>
        </is>
      </c>
      <c r="C8" t="inlineStr">
        <is>
          <t>&gt;=30,0</t>
        </is>
      </c>
      <c r="D8" t="inlineStr">
        <is>
          <t>25,670</t>
        </is>
      </c>
      <c r="E8" t="inlineStr">
        <is>
          <t>25,194</t>
        </is>
      </c>
      <c r="F8" t="inlineStr">
        <is>
          <t>25,727</t>
        </is>
      </c>
      <c r="G8" t="inlineStr">
        <is>
          <t>25,670</t>
        </is>
      </c>
      <c r="H8" t="inlineStr">
        <is>
          <t>31,175</t>
        </is>
      </c>
      <c r="I8" t="inlineStr">
        <is>
          <t>30,545</t>
        </is>
      </c>
      <c r="J8" t="inlineStr">
        <is>
          <t>31,053</t>
        </is>
      </c>
      <c r="K8" t="inlineStr">
        <is>
          <t>31,053</t>
        </is>
      </c>
      <c r="L8" t="inlineStr">
        <is>
          <t>0/3</t>
        </is>
      </c>
      <c r="M8" t="inlineStr">
        <is>
          <t>SIM</t>
        </is>
      </c>
    </row>
    <row r="9">
      <c r="A9" t="inlineStr">
        <is>
          <t>ESP-04</t>
        </is>
      </c>
      <c r="B9" t="inlineStr">
        <is>
          <t>perto20_pct</t>
        </is>
      </c>
      <c r="C9" t="inlineStr">
        <is>
          <t>&gt;=35,0 e &lt;=45,0</t>
        </is>
      </c>
      <c r="D9" t="inlineStr">
        <is>
          <t>41,638</t>
        </is>
      </c>
      <c r="E9" t="inlineStr">
        <is>
          <t>42,047</t>
        </is>
      </c>
      <c r="F9" t="inlineStr">
        <is>
          <t>40,394</t>
        </is>
      </c>
      <c r="G9" t="inlineStr">
        <is>
          <t>41,638</t>
        </is>
      </c>
      <c r="H9" t="inlineStr">
        <is>
          <t>40,813</t>
        </is>
      </c>
      <c r="I9" t="inlineStr">
        <is>
          <t>42,104</t>
        </is>
      </c>
      <c r="J9" t="inlineStr">
        <is>
          <t>41,280</t>
        </is>
      </c>
      <c r="K9" t="inlineStr">
        <is>
          <t>41,280</t>
        </is>
      </c>
      <c r="L9" t="inlineStr">
        <is>
          <t>3/3</t>
        </is>
      </c>
      <c r="M9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6" customWidth="1" min="3" max="3"/>
    <col width="12" customWidth="1" min="4" max="4"/>
    <col width="10" customWidth="1" min="5" max="5"/>
    <col width="10" customWidth="1" min="6" max="6"/>
    <col width="17" customWidth="1" min="7" max="7"/>
    <col width="12" customWidth="1" min="8" max="8"/>
    <col width="10" customWidth="1" min="9" max="9"/>
    <col width="10" customWidth="1" min="10" max="10"/>
    <col width="17" customWidth="1" min="11" max="11"/>
    <col width="21" customWidth="1" min="12" max="12"/>
    <col width="23" customWidth="1" min="13" max="13"/>
  </cols>
  <sheetData>
    <row r="1">
      <c r="A1" t="inlineStr">
        <is>
          <t>Gate</t>
        </is>
      </c>
      <c r="B1" t="inlineStr">
        <is>
          <t>Metrica</t>
        </is>
      </c>
      <c r="C1" t="inlineStr">
        <is>
          <t>Faixa</t>
        </is>
      </c>
      <c r="D1" t="inlineStr">
        <is>
          <t>R18.43 s1</t>
        </is>
      </c>
      <c r="E1" t="inlineStr">
        <is>
          <t>s2</t>
        </is>
      </c>
      <c r="F1" t="inlineStr">
        <is>
          <t>s3</t>
        </is>
      </c>
      <c r="G1" t="inlineStr">
        <is>
          <t>R18.43 mediana</t>
        </is>
      </c>
      <c r="H1" t="inlineStr">
        <is>
          <t>R18.44 s1</t>
        </is>
      </c>
      <c r="I1" t="inlineStr">
        <is>
          <t>s2</t>
        </is>
      </c>
      <c r="J1" t="inlineStr">
        <is>
          <t>s3</t>
        </is>
      </c>
      <c r="K1" t="inlineStr">
        <is>
          <t>R18.44 mediana</t>
        </is>
      </c>
      <c r="L1" t="inlineStr">
        <is>
          <t>R18.43 cumpre (de 3)</t>
        </is>
      </c>
      <c r="M1" t="inlineStr">
        <is>
          <t>R18.44 cumpre mediana</t>
        </is>
      </c>
    </row>
    <row r="2">
      <c r="A2" t="inlineStr">
        <is>
          <t>ECO-01</t>
        </is>
      </c>
      <c r="B2" t="inlineStr">
        <is>
          <t>goals</t>
        </is>
      </c>
      <c r="C2" t="inlineStr">
        <is>
          <t>&gt;=2,40 e &lt;=3,20</t>
        </is>
      </c>
      <c r="D2" t="inlineStr">
        <is>
          <t>3,063</t>
        </is>
      </c>
      <c r="E2" t="inlineStr">
        <is>
          <t>3,125</t>
        </is>
      </c>
      <c r="F2" t="inlineStr">
        <is>
          <t>3,521</t>
        </is>
      </c>
      <c r="G2" t="inlineStr">
        <is>
          <t>3,125</t>
        </is>
      </c>
      <c r="H2" t="inlineStr">
        <is>
          <t>2,500</t>
        </is>
      </c>
      <c r="I2" t="inlineStr">
        <is>
          <t>2,542</t>
        </is>
      </c>
      <c r="J2" t="inlineStr">
        <is>
          <t>2,875</t>
        </is>
      </c>
      <c r="K2" t="inlineStr">
        <is>
          <t>2,542</t>
        </is>
      </c>
      <c r="L2" t="inlineStr">
        <is>
          <t>2/3</t>
        </is>
      </c>
      <c r="M2" t="inlineStr">
        <is>
          <t>SIM</t>
        </is>
      </c>
    </row>
    <row r="3">
      <c r="A3" t="inlineStr">
        <is>
          <t>ECO-02</t>
        </is>
      </c>
      <c r="B3" t="inlineStr">
        <is>
          <t>xg</t>
        </is>
      </c>
      <c r="C3" t="inlineStr">
        <is>
          <t>&gt;=1,80 e &lt;=2,70</t>
        </is>
      </c>
      <c r="D3" t="inlineStr">
        <is>
          <t>2,421</t>
        </is>
      </c>
      <c r="E3" t="inlineStr">
        <is>
          <t>2,380</t>
        </is>
      </c>
      <c r="F3" t="inlineStr">
        <is>
          <t>2,557</t>
        </is>
      </c>
      <c r="G3" t="inlineStr">
        <is>
          <t>2,421</t>
        </is>
      </c>
      <c r="H3" t="inlineStr">
        <is>
          <t>2,475</t>
        </is>
      </c>
      <c r="I3" t="inlineStr">
        <is>
          <t>2,495</t>
        </is>
      </c>
      <c r="J3" t="inlineStr">
        <is>
          <t>2,562</t>
        </is>
      </c>
      <c r="K3" t="inlineStr">
        <is>
          <t>2,495</t>
        </is>
      </c>
      <c r="L3" t="inlineStr">
        <is>
          <t>3/3</t>
        </is>
      </c>
      <c r="M3" t="inlineStr">
        <is>
          <t>SIM</t>
        </is>
      </c>
    </row>
    <row r="4">
      <c r="A4" t="inlineStr">
        <is>
          <t>ECO-03</t>
        </is>
      </c>
      <c r="B4" t="inlineStr">
        <is>
          <t>shots</t>
        </is>
      </c>
      <c r="C4" t="inlineStr">
        <is>
          <t>&gt;=12,00 e &lt;=20,00</t>
        </is>
      </c>
      <c r="D4" t="inlineStr">
        <is>
          <t>14,563</t>
        </is>
      </c>
      <c r="E4" t="inlineStr">
        <is>
          <t>14,542</t>
        </is>
      </c>
      <c r="F4" t="inlineStr">
        <is>
          <t>15,417</t>
        </is>
      </c>
      <c r="G4" t="inlineStr">
        <is>
          <t>14,563</t>
        </is>
      </c>
      <c r="H4" t="inlineStr">
        <is>
          <t>14,604</t>
        </is>
      </c>
      <c r="I4" t="inlineStr">
        <is>
          <t>15,313</t>
        </is>
      </c>
      <c r="J4" t="inlineStr">
        <is>
          <t>15,250</t>
        </is>
      </c>
      <c r="K4" t="inlineStr">
        <is>
          <t>15,250</t>
        </is>
      </c>
      <c r="L4" t="inlineStr">
        <is>
          <t>3/3</t>
        </is>
      </c>
      <c r="M4" t="inlineStr">
        <is>
          <t>SIM</t>
        </is>
      </c>
    </row>
    <row r="5">
      <c r="A5" t="inlineStr">
        <is>
          <t>ECO-04</t>
        </is>
      </c>
      <c r="B5" t="inlineStr">
        <is>
          <t>onTarget</t>
        </is>
      </c>
      <c r="C5" t="inlineStr">
        <is>
          <t>&gt;=4,00 e &lt;=7,00</t>
        </is>
      </c>
      <c r="D5" t="inlineStr">
        <is>
          <t>5,688</t>
        </is>
      </c>
      <c r="E5" t="inlineStr">
        <is>
          <t>5,667</t>
        </is>
      </c>
      <c r="F5" t="inlineStr">
        <is>
          <t>6,083</t>
        </is>
      </c>
      <c r="G5" t="inlineStr">
        <is>
          <t>5,688</t>
        </is>
      </c>
      <c r="H5" t="inlineStr">
        <is>
          <t>4,667</t>
        </is>
      </c>
      <c r="I5" t="inlineStr">
        <is>
          <t>5,167</t>
        </is>
      </c>
      <c r="J5" t="inlineStr">
        <is>
          <t>5,208</t>
        </is>
      </c>
      <c r="K5" t="inlineStr">
        <is>
          <t>5,167</t>
        </is>
      </c>
      <c r="L5" t="inlineStr">
        <is>
          <t>3/3</t>
        </is>
      </c>
      <c r="M5" t="inlineStr">
        <is>
          <t>SIM</t>
        </is>
      </c>
    </row>
    <row r="6">
      <c r="A6" t="inlineStr">
        <is>
          <t>COE-01</t>
        </is>
      </c>
      <c r="B6" t="inlineStr">
        <is>
          <t>gols_por_xg</t>
        </is>
      </c>
      <c r="C6" t="inlineStr">
        <is>
          <t>&gt;=0,90 e &lt;=1,15</t>
        </is>
      </c>
      <c r="D6" t="inlineStr">
        <is>
          <t>1,265</t>
        </is>
      </c>
      <c r="E6" t="inlineStr">
        <is>
          <t>1,313</t>
        </is>
      </c>
      <c r="F6" t="inlineStr">
        <is>
          <t>1,377</t>
        </is>
      </c>
      <c r="G6" t="inlineStr">
        <is>
          <t>1,313</t>
        </is>
      </c>
      <c r="H6" t="inlineStr">
        <is>
          <t>1,010</t>
        </is>
      </c>
      <c r="I6" t="inlineStr">
        <is>
          <t>1,019</t>
        </is>
      </c>
      <c r="J6" t="inlineStr">
        <is>
          <t>1,122</t>
        </is>
      </c>
      <c r="K6" t="inlineStr">
        <is>
          <t>1,019</t>
        </is>
      </c>
      <c r="L6" t="inlineStr">
        <is>
          <t>0/3</t>
        </is>
      </c>
      <c r="M6" t="inlineStr">
        <is>
          <t>SIM</t>
        </is>
      </c>
    </row>
    <row r="7">
      <c r="A7" t="inlineStr">
        <is>
          <t>CAU-03</t>
        </is>
      </c>
      <c r="B7" t="inlineStr">
        <is>
          <t>pct_dos_gols_por_falha_do_goleiro</t>
        </is>
      </c>
      <c r="C7" t="inlineStr">
        <is>
          <t>&lt;=8,00</t>
        </is>
      </c>
      <c r="D7" t="inlineStr">
        <is>
          <t>19,048</t>
        </is>
      </c>
      <c r="E7" t="inlineStr">
        <is>
          <t>19,333</t>
        </is>
      </c>
      <c r="F7" t="inlineStr">
        <is>
          <t>24,852</t>
        </is>
      </c>
      <c r="G7" t="inlineStr">
        <is>
          <t>19,333</t>
        </is>
      </c>
      <c r="H7" t="inlineStr">
        <is>
          <t>1,667</t>
        </is>
      </c>
      <c r="I7" t="inlineStr">
        <is>
          <t>2,459</t>
        </is>
      </c>
      <c r="J7" t="inlineStr">
        <is>
          <t>1,449</t>
        </is>
      </c>
      <c r="K7" t="inlineStr">
        <is>
          <t>1,667</t>
        </is>
      </c>
      <c r="L7" t="inlineStr">
        <is>
          <t>0/3</t>
        </is>
      </c>
      <c r="M7" t="inlineStr">
        <is>
          <t>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2" customWidth="1" min="9" max="9"/>
    <col width="13" customWidth="1" min="10" max="10"/>
  </cols>
  <sheetData>
    <row r="1">
      <c r="A1" t="inlineStr">
        <is>
          <t>DECISAO APROVADA: ECO-03 17-27 (era 12-20) e ECO-04 6-10 (era 4-7)</t>
        </is>
      </c>
    </row>
    <row r="2">
      <c r="A2" t="inlineStr">
        <is>
          <t>Derivadas de futebol real na faixa 0,7-1,0x da Ordem de Servico. ECO-01 e ECO-02 inalterados.</t>
        </is>
      </c>
    </row>
    <row r="4">
      <c r="A4" t="inlineStr">
        <is>
          <t>build</t>
        </is>
      </c>
      <c r="B4" t="inlineStr">
        <is>
          <t>gate</t>
        </is>
      </c>
      <c r="C4" t="inlineStr">
        <is>
          <t>s1</t>
        </is>
      </c>
      <c r="D4" t="inlineStr">
        <is>
          <t>s2</t>
        </is>
      </c>
      <c r="E4" t="inlineStr">
        <is>
          <t>s3</t>
        </is>
      </c>
      <c r="F4" t="inlineStr">
        <is>
          <t>mediana</t>
        </is>
      </c>
      <c r="G4" t="inlineStr">
        <is>
          <t>faixa antiga</t>
        </is>
      </c>
      <c r="H4" t="inlineStr">
        <is>
          <t>cumpria antiga</t>
        </is>
      </c>
      <c r="I4" t="inlineStr">
        <is>
          <t>faixa nova</t>
        </is>
      </c>
      <c r="J4" t="inlineStr">
        <is>
          <t>cumpre nova</t>
        </is>
      </c>
    </row>
    <row r="5">
      <c r="A5" t="inlineStr">
        <is>
          <t>R18.43</t>
        </is>
      </c>
      <c r="B5" t="inlineStr">
        <is>
          <t>ECO-03</t>
        </is>
      </c>
      <c r="C5" t="inlineStr">
        <is>
          <t>14,563</t>
        </is>
      </c>
      <c r="D5" t="inlineStr">
        <is>
          <t>14,542</t>
        </is>
      </c>
      <c r="E5" t="inlineStr">
        <is>
          <t>15,417</t>
        </is>
      </c>
      <c r="F5" t="inlineStr">
        <is>
          <t>14,563</t>
        </is>
      </c>
      <c r="G5" t="inlineStr">
        <is>
          <t>12-20</t>
        </is>
      </c>
      <c r="H5" t="inlineStr">
        <is>
          <t>SIM</t>
        </is>
      </c>
      <c r="I5" t="inlineStr">
        <is>
          <t>17-27</t>
        </is>
      </c>
      <c r="J5" t="inlineStr">
        <is>
          <t>NAO</t>
        </is>
      </c>
    </row>
    <row r="6">
      <c r="A6" t="inlineStr">
        <is>
          <t>R18.43</t>
        </is>
      </c>
      <c r="B6" t="inlineStr">
        <is>
          <t>ECO-04</t>
        </is>
      </c>
      <c r="C6" t="inlineStr">
        <is>
          <t>5,688</t>
        </is>
      </c>
      <c r="D6" t="inlineStr">
        <is>
          <t>5,667</t>
        </is>
      </c>
      <c r="E6" t="inlineStr">
        <is>
          <t>6,083</t>
        </is>
      </c>
      <c r="F6" t="inlineStr">
        <is>
          <t>5,688</t>
        </is>
      </c>
      <c r="G6" t="inlineStr">
        <is>
          <t>4-7</t>
        </is>
      </c>
      <c r="H6" t="inlineStr">
        <is>
          <t>SIM</t>
        </is>
      </c>
      <c r="I6" t="inlineStr">
        <is>
          <t>6-10</t>
        </is>
      </c>
      <c r="J6" t="inlineStr">
        <is>
          <t>NAO</t>
        </is>
      </c>
    </row>
    <row r="7">
      <c r="A7" t="inlineStr">
        <is>
          <t>R18.44</t>
        </is>
      </c>
      <c r="B7" t="inlineStr">
        <is>
          <t>ECO-03</t>
        </is>
      </c>
      <c r="C7" t="inlineStr">
        <is>
          <t>14,604</t>
        </is>
      </c>
      <c r="D7" t="inlineStr">
        <is>
          <t>15,313</t>
        </is>
      </c>
      <c r="E7" t="inlineStr">
        <is>
          <t>15,250</t>
        </is>
      </c>
      <c r="F7" t="inlineStr">
        <is>
          <t>15,250</t>
        </is>
      </c>
      <c r="G7" t="inlineStr">
        <is>
          <t>12-20</t>
        </is>
      </c>
      <c r="H7" t="inlineStr">
        <is>
          <t>SIM</t>
        </is>
      </c>
      <c r="I7" t="inlineStr">
        <is>
          <t>17-27</t>
        </is>
      </c>
      <c r="J7" t="inlineStr">
        <is>
          <t>NAO</t>
        </is>
      </c>
    </row>
    <row r="8">
      <c r="A8" t="inlineStr">
        <is>
          <t>R18.44</t>
        </is>
      </c>
      <c r="B8" t="inlineStr">
        <is>
          <t>ECO-04</t>
        </is>
      </c>
      <c r="C8" t="inlineStr">
        <is>
          <t>4,667</t>
        </is>
      </c>
      <c r="D8" t="inlineStr">
        <is>
          <t>5,167</t>
        </is>
      </c>
      <c r="E8" t="inlineStr">
        <is>
          <t>5,208</t>
        </is>
      </c>
      <c r="F8" t="inlineStr">
        <is>
          <t>5,167</t>
        </is>
      </c>
      <c r="G8" t="inlineStr">
        <is>
          <t>4-7</t>
        </is>
      </c>
      <c r="H8" t="inlineStr">
        <is>
          <t>SIM</t>
        </is>
      </c>
      <c r="I8" t="inlineStr">
        <is>
          <t>6-10</t>
        </is>
      </c>
      <c r="J8" t="inlineStr">
        <is>
          <t>NAO</t>
        </is>
      </c>
    </row>
    <row r="9">
      <c r="A9" t="inlineStr">
        <is>
          <t>R18.45-RC b2,60</t>
        </is>
      </c>
      <c r="B9" t="inlineStr">
        <is>
          <t>ECO-03</t>
        </is>
      </c>
      <c r="C9" t="inlineStr">
        <is>
          <t>14,563</t>
        </is>
      </c>
      <c r="D9" t="inlineStr">
        <is>
          <t>14,750</t>
        </is>
      </c>
      <c r="E9" t="inlineStr">
        <is>
          <t>15,167</t>
        </is>
      </c>
      <c r="F9" t="inlineStr">
        <is>
          <t>14,750</t>
        </is>
      </c>
      <c r="G9" t="inlineStr">
        <is>
          <t>12-20</t>
        </is>
      </c>
      <c r="H9" t="inlineStr">
        <is>
          <t>SIM</t>
        </is>
      </c>
      <c r="I9" t="inlineStr">
        <is>
          <t>17-27</t>
        </is>
      </c>
      <c r="J9" t="inlineStr">
        <is>
          <t>NAO</t>
        </is>
      </c>
    </row>
    <row r="10">
      <c r="A10" t="inlineStr">
        <is>
          <t>R18.45-RC b2,60</t>
        </is>
      </c>
      <c r="B10" t="inlineStr">
        <is>
          <t>ECO-04</t>
        </is>
      </c>
      <c r="C10" t="inlineStr">
        <is>
          <t>4,063</t>
        </is>
      </c>
      <c r="D10" t="inlineStr">
        <is>
          <t>4,833</t>
        </is>
      </c>
      <c r="E10" t="inlineStr">
        <is>
          <t>4,646</t>
        </is>
      </c>
      <c r="F10" t="inlineStr">
        <is>
          <t>4,646</t>
        </is>
      </c>
      <c r="G10" t="inlineStr">
        <is>
          <t>4-7</t>
        </is>
      </c>
      <c r="H10" t="inlineStr">
        <is>
          <t>SIM</t>
        </is>
      </c>
      <c r="I10" t="inlineStr">
        <is>
          <t>6-10</t>
        </is>
      </c>
      <c r="J10" t="inlineStr">
        <is>
          <t>NAO</t>
        </is>
      </c>
    </row>
    <row r="11">
      <c r="A11" t="inlineStr">
        <is>
          <t>R18.45-RC b1,35</t>
        </is>
      </c>
      <c r="B11" t="inlineStr">
        <is>
          <t>ECO-03</t>
        </is>
      </c>
      <c r="C11" t="inlineStr">
        <is>
          <t>14,521</t>
        </is>
      </c>
      <c r="D11" t="inlineStr">
        <is>
          <t>15,042</t>
        </is>
      </c>
      <c r="E11" t="inlineStr">
        <is>
          <t>14,396</t>
        </is>
      </c>
      <c r="F11" t="inlineStr">
        <is>
          <t>14,521</t>
        </is>
      </c>
      <c r="G11" t="inlineStr">
        <is>
          <t>12-20</t>
        </is>
      </c>
      <c r="H11" t="inlineStr">
        <is>
          <t>SIM</t>
        </is>
      </c>
      <c r="I11" t="inlineStr">
        <is>
          <t>17-27</t>
        </is>
      </c>
      <c r="J11" t="inlineStr">
        <is>
          <t>NAO</t>
        </is>
      </c>
    </row>
    <row r="12">
      <c r="A12" t="inlineStr">
        <is>
          <t>R18.45-RC b1,35</t>
        </is>
      </c>
      <c r="B12" t="inlineStr">
        <is>
          <t>ECO-04</t>
        </is>
      </c>
      <c r="C12" t="inlineStr">
        <is>
          <t>3,833</t>
        </is>
      </c>
      <c r="D12" t="inlineStr">
        <is>
          <t>4,396</t>
        </is>
      </c>
      <c r="E12" t="inlineStr">
        <is>
          <t>4,167</t>
        </is>
      </c>
      <c r="F12" t="inlineStr">
        <is>
          <t>4,167</t>
        </is>
      </c>
      <c r="G12" t="inlineStr">
        <is>
          <t>4-7</t>
        </is>
      </c>
      <c r="H12" t="inlineStr">
        <is>
          <t>SIM</t>
        </is>
      </c>
      <c r="I12" t="inlineStr">
        <is>
          <t>6-10</t>
        </is>
      </c>
      <c r="J12" t="inlineStr">
        <is>
          <t>NAO</t>
        </is>
      </c>
    </row>
    <row r="14">
      <c r="A14" t="inlineStr">
        <is>
          <t>futebol real (soma dos dois times)</t>
        </is>
      </c>
      <c r="B14" t="inlineStr"/>
      <c r="C14" t="inlineStr"/>
      <c r="D14" t="inlineStr"/>
      <c r="E14" t="inlineStr"/>
      <c r="F14" t="inlineStr">
        <is>
          <t>chutes ~25 · no alvo ~8,5 · gols ~2,7 · xG ~2,7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2026-07-30T04:07:26Z</dcterms:created>
  <dcterms:modified xsi:type="dcterms:W3CDTF">2026-07-30T11:11:22Z</dcterms:modified>
</cp:coreProperties>
</file>